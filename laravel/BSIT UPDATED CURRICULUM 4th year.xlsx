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pa\Downloads\"/>
    </mc:Choice>
  </mc:AlternateContent>
  <xr:revisionPtr revIDLastSave="0" documentId="13_ncr:9_{8C943800-73EF-4652-AC43-10686BA79E2A}" xr6:coauthVersionLast="47" xr6:coauthVersionMax="47" xr10:uidLastSave="{00000000-0000-0000-0000-000000000000}"/>
  <bookViews>
    <workbookView xWindow="-120" yWindow="-120" windowWidth="29040" windowHeight="15720" xr2:uid="{1F850364-D895-4717-8456-84916226EDC8}"/>
  </bookViews>
  <sheets>
    <sheet name="ABANERA" sheetId="11" r:id="rId1"/>
    <sheet name="Sheet1" sheetId="101" r:id="rId2"/>
  </sheets>
  <definedNames>
    <definedName name="_xlnm.Print_Area" localSheetId="0">ABANERA!$A$1:$H$139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1" l="1"/>
  <c r="D25" i="11"/>
  <c r="C38" i="11"/>
  <c r="D38" i="11"/>
  <c r="C51" i="11"/>
  <c r="D51" i="11"/>
  <c r="C64" i="11"/>
  <c r="D64" i="11"/>
  <c r="C76" i="11"/>
  <c r="D76" i="11"/>
  <c r="C89" i="11"/>
  <c r="D89" i="11"/>
  <c r="C100" i="11"/>
  <c r="D100" i="11"/>
  <c r="C108" i="11"/>
  <c r="D108" i="11"/>
  <c r="C116" i="11"/>
  <c r="D116" i="11"/>
  <c r="C125" i="11"/>
  <c r="D125" i="11"/>
</calcChain>
</file>

<file path=xl/sharedStrings.xml><?xml version="1.0" encoding="utf-8"?>
<sst xmlns="http://schemas.openxmlformats.org/spreadsheetml/2006/main" count="345" uniqueCount="180">
  <si>
    <t>Course</t>
  </si>
  <si>
    <t>Code</t>
  </si>
  <si>
    <t xml:space="preserve">Course </t>
  </si>
  <si>
    <t>Description</t>
  </si>
  <si>
    <t>Units</t>
  </si>
  <si>
    <t>First Year</t>
  </si>
  <si>
    <t>First Semester</t>
  </si>
  <si>
    <t>None</t>
  </si>
  <si>
    <t>PED101</t>
  </si>
  <si>
    <t>NSTP11</t>
  </si>
  <si>
    <t xml:space="preserve">Second Semester </t>
  </si>
  <si>
    <t>PED102</t>
  </si>
  <si>
    <t>NSTP12</t>
  </si>
  <si>
    <t>Second Year</t>
  </si>
  <si>
    <t>PED203</t>
  </si>
  <si>
    <t>Second Semester</t>
  </si>
  <si>
    <t>PED204</t>
  </si>
  <si>
    <t>Colegio de San Pedro</t>
  </si>
  <si>
    <t>Information Technology Education Department</t>
  </si>
  <si>
    <t>Phase 1A Pacita Complex 1, San Pedro, Laguna</t>
  </si>
  <si>
    <t xml:space="preserve">BACHELOR OF SCIENCE IN INFORMATION TECHNOLOGY (BSIT) </t>
  </si>
  <si>
    <t>Art Appreciation</t>
  </si>
  <si>
    <t>Computer Programming 1</t>
  </si>
  <si>
    <t>Physical Education 1</t>
  </si>
  <si>
    <t>Physical Education 3</t>
  </si>
  <si>
    <t>Quantitative Methods</t>
  </si>
  <si>
    <t>Physical Education 4</t>
  </si>
  <si>
    <t>Third Year</t>
  </si>
  <si>
    <t>Fourth Year</t>
  </si>
  <si>
    <t>Web Development</t>
  </si>
  <si>
    <t>Software Engineering</t>
  </si>
  <si>
    <t xml:space="preserve">    </t>
  </si>
  <si>
    <t>Understanding the Self</t>
  </si>
  <si>
    <t>The Contemporary World</t>
  </si>
  <si>
    <t>Mathematics in the Modern World</t>
  </si>
  <si>
    <t>Purposive Communication</t>
  </si>
  <si>
    <t>Science, Technology, and Society</t>
  </si>
  <si>
    <t>Ethics</t>
  </si>
  <si>
    <t>Rizal's Life and Works</t>
  </si>
  <si>
    <t>CURRICULUM 2018</t>
  </si>
  <si>
    <t>ITC101</t>
  </si>
  <si>
    <t>ITC102</t>
  </si>
  <si>
    <t>GE101</t>
  </si>
  <si>
    <t>GE102</t>
  </si>
  <si>
    <t>GEE101</t>
  </si>
  <si>
    <t>CHED Memorandum Order No. 25 s. 2015</t>
  </si>
  <si>
    <t>Lec</t>
  </si>
  <si>
    <t>Lab</t>
  </si>
  <si>
    <t xml:space="preserve">Introduction to Computing </t>
  </si>
  <si>
    <t>Computer Programming 1 - PLF/C</t>
  </si>
  <si>
    <t>Discrete Mathematics</t>
  </si>
  <si>
    <t>Computer Programming 2 - Java</t>
  </si>
  <si>
    <t>Multimedia Technology 1</t>
  </si>
  <si>
    <t>Networking 1</t>
  </si>
  <si>
    <t>Data Structures and Algorithms</t>
  </si>
  <si>
    <t>Human Computer Interaction</t>
  </si>
  <si>
    <t>Networking 2</t>
  </si>
  <si>
    <t>Multimedia Technology 2</t>
  </si>
  <si>
    <t>Fundamentals of Database Management System</t>
  </si>
  <si>
    <t xml:space="preserve">Information Management </t>
  </si>
  <si>
    <t>Information Assurance and Security 1</t>
  </si>
  <si>
    <t>Systems Analysis and Design</t>
  </si>
  <si>
    <t>Elective 2 - Android Programming</t>
  </si>
  <si>
    <t>3rd year standing</t>
  </si>
  <si>
    <t>Information Assurance and Security 2</t>
  </si>
  <si>
    <t>Capstone Project and Research 1</t>
  </si>
  <si>
    <t>Capstone Project and Research 2</t>
  </si>
  <si>
    <t>Internship (500 hrs)</t>
  </si>
  <si>
    <t>Readings in Philippine History</t>
  </si>
  <si>
    <t>GE103</t>
  </si>
  <si>
    <t>GE104</t>
  </si>
  <si>
    <t>GEE102</t>
  </si>
  <si>
    <t>Physical Educaiton 2</t>
  </si>
  <si>
    <t>GE208</t>
  </si>
  <si>
    <t>ITC103</t>
  </si>
  <si>
    <t>ITP101</t>
  </si>
  <si>
    <t>ITP102</t>
  </si>
  <si>
    <t>ITC204</t>
  </si>
  <si>
    <t>ITP204</t>
  </si>
  <si>
    <t>ITP205</t>
  </si>
  <si>
    <t>ITP206</t>
  </si>
  <si>
    <t>ITP207</t>
  </si>
  <si>
    <t>ITP310</t>
  </si>
  <si>
    <t>ITP311</t>
  </si>
  <si>
    <t>ITC305</t>
  </si>
  <si>
    <t>ITP312</t>
  </si>
  <si>
    <t>ITP313</t>
  </si>
  <si>
    <t>ITP314</t>
  </si>
  <si>
    <t>ITP315</t>
  </si>
  <si>
    <t>ITP316</t>
  </si>
  <si>
    <t>ITP317</t>
  </si>
  <si>
    <t>ITP319</t>
  </si>
  <si>
    <t>Bridging Program</t>
  </si>
  <si>
    <t>Pre-Requisite</t>
  </si>
  <si>
    <t>BRP101</t>
  </si>
  <si>
    <t>Critical Thinking</t>
  </si>
  <si>
    <t>BRP102</t>
  </si>
  <si>
    <t>Speech Communication</t>
  </si>
  <si>
    <t>BRP103</t>
  </si>
  <si>
    <t>Composition and Technical Writing</t>
  </si>
  <si>
    <t>BRP104</t>
  </si>
  <si>
    <t>Global and Local Connections</t>
  </si>
  <si>
    <t>BRP105</t>
  </si>
  <si>
    <t>Technology as a Tool of the Trade</t>
  </si>
  <si>
    <t>GE105</t>
  </si>
  <si>
    <t>GE106</t>
  </si>
  <si>
    <t>GE107</t>
  </si>
  <si>
    <t>GE209</t>
  </si>
  <si>
    <t>GEE203</t>
  </si>
  <si>
    <t>Social Responsibility and Ethical Issues for IT</t>
  </si>
  <si>
    <t>ITP420</t>
  </si>
  <si>
    <t>Summer Term</t>
  </si>
  <si>
    <t>Co-Requisite</t>
  </si>
  <si>
    <t xml:space="preserve"> </t>
  </si>
  <si>
    <t>Cloud Computing</t>
  </si>
  <si>
    <t xml:space="preserve">Integrative Programming and Technologies 1 </t>
  </si>
  <si>
    <t xml:space="preserve">  </t>
  </si>
  <si>
    <t xml:space="preserve">ITE Elective 3  </t>
  </si>
  <si>
    <t xml:space="preserve">ITE Elective 4 </t>
  </si>
  <si>
    <t>ITP421</t>
  </si>
  <si>
    <t xml:space="preserve"> 3rd Year Standing</t>
  </si>
  <si>
    <t xml:space="preserve">ITE Elective 1   </t>
  </si>
  <si>
    <t>GE Elective 1 - The Entrepreneurial Mind</t>
  </si>
  <si>
    <t>Civic Welfare Training Program 1</t>
  </si>
  <si>
    <t>GE Elective 2 - Philippine Popular Culture</t>
  </si>
  <si>
    <t>Civic Welfare Training Program 2</t>
  </si>
  <si>
    <t>ITP203</t>
  </si>
  <si>
    <t>GE Elective 3- Living in the IT Era</t>
  </si>
  <si>
    <t>Relational Database Maintenance System (RDBMS)</t>
  </si>
  <si>
    <t>System Administration and Maintenance</t>
  </si>
  <si>
    <t>Elective 3</t>
  </si>
  <si>
    <t>System Integration and Architechture</t>
  </si>
  <si>
    <t>ITC406</t>
  </si>
  <si>
    <t>Application Development and Emerging Technologies</t>
  </si>
  <si>
    <t>ITP422</t>
  </si>
  <si>
    <t>ICT Trends and Seminar</t>
  </si>
  <si>
    <t>Elective 4</t>
  </si>
  <si>
    <t>ITP423</t>
  </si>
  <si>
    <t>ITC103, ITP102</t>
  </si>
  <si>
    <t>ITC103, ITC204</t>
  </si>
  <si>
    <t>Elective 1</t>
  </si>
  <si>
    <t>ITP308</t>
  </si>
  <si>
    <t>ITP309</t>
  </si>
  <si>
    <t>ITP206/ITP309</t>
  </si>
  <si>
    <t>ITC204/ITP206</t>
  </si>
  <si>
    <t>ITC101, ITC103, ITP205</t>
  </si>
  <si>
    <t xml:space="preserve"> ITC203/ITP309 </t>
  </si>
  <si>
    <t xml:space="preserve">IT Elective 2 </t>
  </si>
  <si>
    <t>Elective 2</t>
  </si>
  <si>
    <t>ITP203/GE104</t>
  </si>
  <si>
    <t>ITP 309</t>
  </si>
  <si>
    <t>At least 80% academic requirements completed</t>
  </si>
  <si>
    <t>4th year standing</t>
  </si>
  <si>
    <t>ITP 417</t>
  </si>
  <si>
    <t>ELECTIVE TRACK - APPLICATION DEVELOPMENT (12 UNITS)</t>
  </si>
  <si>
    <t>Elective 1 - Advanced Object Oriented Programming</t>
  </si>
  <si>
    <t>Elective 3 - Advanced Web Development (LAMP)</t>
  </si>
  <si>
    <t>Elective 4 - Advanced Web Development 2 (MEAN stack)</t>
  </si>
  <si>
    <t>ELECTIVE TRACK - CYBER SECURITY (12 UNITS)</t>
  </si>
  <si>
    <t>Elective 1 - Network Administration</t>
  </si>
  <si>
    <t>Elective 2 - Server Administration</t>
  </si>
  <si>
    <t>Elective 3 - Security Administration</t>
  </si>
  <si>
    <t>Elective 4 - Cyber Security</t>
  </si>
  <si>
    <t>Grade</t>
  </si>
  <si>
    <t>Faculty</t>
  </si>
  <si>
    <t>Course  Description</t>
  </si>
  <si>
    <t>96/1.25</t>
  </si>
  <si>
    <t>97/1.25</t>
  </si>
  <si>
    <t>93/1.50</t>
  </si>
  <si>
    <t>89/1.75</t>
  </si>
  <si>
    <t>95/1.25</t>
  </si>
  <si>
    <t>91/1.50</t>
  </si>
  <si>
    <t>98/1.00</t>
  </si>
  <si>
    <t>94/1.50</t>
  </si>
  <si>
    <t>99/1.00</t>
  </si>
  <si>
    <t>90/1.75</t>
  </si>
  <si>
    <t>92/1.50</t>
  </si>
  <si>
    <t>88/1.75</t>
  </si>
  <si>
    <t>75/3.00</t>
  </si>
  <si>
    <t>96/1.255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</si>
</sst>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.5"/>
      <color indexed="8"/>
      <name val="Arial"/>
      <family val="2"/>
    </font>
    <font>
      <sz val="9.5"/>
      <name val="Arial"/>
      <family val="2"/>
    </font>
    <font>
      <b/>
      <sz val="9.5"/>
      <name val="Arial"/>
      <family val="2"/>
    </font>
    <font>
      <sz val="8"/>
      <name val="Arial"/>
      <family val="2"/>
    </font>
    <font>
      <u/>
      <sz val="9.5"/>
      <name val="Arial"/>
      <family val="2"/>
    </font>
    <font>
      <sz val="11"/>
      <color theme="1"/>
      <name val="Calibri"/>
      <family val="2"/>
      <scheme val="minor"/>
    </font>
    <font>
      <sz val="9.5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16" fillId="0" borderId="0"/>
  </cellStyleXfs>
  <cellXfs count="110">
    <xf numFmtId="0" fontId="0" fillId="0" borderId="0" xfId="0"/>
    <xf numFmtId="0" fontId="3" fillId="0" borderId="0" xfId="0" applyFont="1" applyFill="1" applyAlignment="1">
      <alignment horizontal="center"/>
    </xf>
    <xf numFmtId="0" fontId="5" fillId="0" borderId="0" xfId="0" applyFont="1" applyFill="1"/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0" fontId="6" fillId="0" borderId="4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17" fillId="0" borderId="5" xfId="0" applyFont="1" applyBorder="1" applyAlignment="1">
      <alignment vertical="center" wrapText="1"/>
    </xf>
    <xf numFmtId="0" fontId="9" fillId="0" borderId="0" xfId="0" applyFont="1" applyFill="1" applyAlignment="1">
      <alignment horizontal="center"/>
    </xf>
    <xf numFmtId="0" fontId="11" fillId="0" borderId="6" xfId="0" applyFont="1" applyBorder="1"/>
    <xf numFmtId="0" fontId="12" fillId="0" borderId="6" xfId="0" applyFont="1" applyBorder="1" applyAlignment="1">
      <alignment vertical="center" wrapText="1"/>
    </xf>
    <xf numFmtId="0" fontId="12" fillId="0" borderId="6" xfId="0" applyFont="1" applyFill="1" applyBorder="1" applyAlignment="1">
      <alignment horizontal="center"/>
    </xf>
    <xf numFmtId="0" fontId="12" fillId="0" borderId="6" xfId="0" applyFont="1" applyBorder="1"/>
    <xf numFmtId="0" fontId="12" fillId="0" borderId="0" xfId="0" applyFont="1"/>
    <xf numFmtId="0" fontId="11" fillId="0" borderId="7" xfId="0" applyFont="1" applyBorder="1"/>
    <xf numFmtId="0" fontId="12" fillId="0" borderId="5" xfId="0" applyFont="1" applyBorder="1" applyAlignment="1">
      <alignment vertical="center" wrapText="1"/>
    </xf>
    <xf numFmtId="0" fontId="12" fillId="0" borderId="7" xfId="0" applyFont="1" applyFill="1" applyBorder="1" applyAlignment="1">
      <alignment horizontal="center"/>
    </xf>
    <xf numFmtId="0" fontId="12" fillId="0" borderId="5" xfId="0" applyFont="1" applyBorder="1"/>
    <xf numFmtId="0" fontId="12" fillId="0" borderId="5" xfId="0" applyFont="1" applyFill="1" applyBorder="1" applyAlignment="1">
      <alignment horizontal="center"/>
    </xf>
    <xf numFmtId="0" fontId="12" fillId="0" borderId="2" xfId="0" applyFont="1" applyFill="1" applyBorder="1"/>
    <xf numFmtId="0" fontId="12" fillId="0" borderId="8" xfId="0" applyFont="1" applyFill="1" applyBorder="1"/>
    <xf numFmtId="0" fontId="12" fillId="0" borderId="2" xfId="0" applyFont="1" applyFill="1" applyBorder="1" applyAlignment="1">
      <alignment horizontal="center"/>
    </xf>
    <xf numFmtId="0" fontId="12" fillId="0" borderId="8" xfId="0" applyFont="1" applyBorder="1"/>
    <xf numFmtId="0" fontId="12" fillId="0" borderId="0" xfId="0" applyFont="1" applyFill="1"/>
    <xf numFmtId="0" fontId="13" fillId="0" borderId="2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6" xfId="0" applyFont="1" applyFill="1" applyBorder="1"/>
    <xf numFmtId="0" fontId="12" fillId="0" borderId="5" xfId="0" applyFont="1" applyFill="1" applyBorder="1"/>
    <xf numFmtId="0" fontId="12" fillId="0" borderId="8" xfId="0" applyFont="1" applyFill="1" applyBorder="1" applyAlignment="1">
      <alignment horizontal="center"/>
    </xf>
    <xf numFmtId="0" fontId="12" fillId="0" borderId="8" xfId="0" quotePrefix="1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11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2" fillId="0" borderId="12" xfId="0" applyFont="1" applyFill="1" applyBorder="1"/>
    <xf numFmtId="0" fontId="12" fillId="0" borderId="13" xfId="0" applyFont="1" applyFill="1" applyBorder="1"/>
    <xf numFmtId="0" fontId="12" fillId="0" borderId="7" xfId="0" applyFont="1" applyFill="1" applyBorder="1"/>
    <xf numFmtId="0" fontId="12" fillId="0" borderId="7" xfId="0" applyFont="1" applyBorder="1"/>
    <xf numFmtId="0" fontId="12" fillId="0" borderId="14" xfId="0" applyFont="1" applyFill="1" applyBorder="1" applyAlignment="1">
      <alignment horizontal="center"/>
    </xf>
    <xf numFmtId="0" fontId="12" fillId="0" borderId="15" xfId="0" applyFont="1" applyFill="1" applyBorder="1"/>
    <xf numFmtId="0" fontId="12" fillId="0" borderId="15" xfId="0" applyFont="1" applyFill="1" applyBorder="1" applyAlignment="1">
      <alignment horizontal="center"/>
    </xf>
    <xf numFmtId="0" fontId="12" fillId="0" borderId="15" xfId="0" applyFont="1" applyBorder="1"/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2" fillId="0" borderId="16" xfId="0" applyFont="1" applyFill="1" applyBorder="1" applyAlignment="1">
      <alignment horizontal="center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12" fillId="0" borderId="0" xfId="0" applyFont="1" applyBorder="1"/>
    <xf numFmtId="0" fontId="12" fillId="0" borderId="17" xfId="0" applyFont="1" applyFill="1" applyBorder="1"/>
    <xf numFmtId="0" fontId="12" fillId="0" borderId="17" xfId="0" applyFont="1" applyFill="1" applyBorder="1" applyAlignment="1">
      <alignment horizontal="center"/>
    </xf>
    <xf numFmtId="0" fontId="12" fillId="0" borderId="17" xfId="0" applyFont="1" applyBorder="1"/>
    <xf numFmtId="0" fontId="6" fillId="0" borderId="17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6" fillId="0" borderId="19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5" fillId="0" borderId="0" xfId="0" applyFont="1" applyBorder="1"/>
    <xf numFmtId="0" fontId="12" fillId="0" borderId="21" xfId="0" applyFont="1" applyFill="1" applyBorder="1"/>
    <xf numFmtId="0" fontId="12" fillId="0" borderId="19" xfId="0" applyFont="1" applyFill="1" applyBorder="1"/>
    <xf numFmtId="0" fontId="12" fillId="0" borderId="20" xfId="0" applyFont="1" applyFill="1" applyBorder="1"/>
    <xf numFmtId="0" fontId="6" fillId="0" borderId="0" xfId="0" applyFont="1" applyFill="1"/>
    <xf numFmtId="0" fontId="12" fillId="0" borderId="21" xfId="0" applyFont="1" applyBorder="1"/>
    <xf numFmtId="0" fontId="12" fillId="0" borderId="22" xfId="0" applyFont="1" applyBorder="1"/>
    <xf numFmtId="0" fontId="12" fillId="0" borderId="3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5" fillId="0" borderId="6" xfId="0" applyFont="1" applyFill="1" applyBorder="1"/>
    <xf numFmtId="0" fontId="5" fillId="0" borderId="19" xfId="0" applyFont="1" applyFill="1" applyBorder="1"/>
    <xf numFmtId="0" fontId="5" fillId="0" borderId="15" xfId="0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/>
    <xf numFmtId="0" fontId="15" fillId="0" borderId="23" xfId="0" applyFont="1" applyBorder="1"/>
    <xf numFmtId="0" fontId="8" fillId="0" borderId="0" xfId="0" applyFont="1" applyFill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1" fillId="0" borderId="36" xfId="0" applyFont="1" applyFill="1" applyBorder="1" applyAlignment="1">
      <alignment horizontal="left"/>
    </xf>
    <xf numFmtId="0" fontId="2" fillId="2" borderId="32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</cellXfs>
  <cellStyles count="3">
    <cellStyle name="Normal" xfId="0" builtinId="0"/>
    <cellStyle name="Normal 2" xfId="1" xr:uid="{47F8D16B-3493-4B8D-A1A8-06384CC25BC3}"/>
    <cellStyle name="Normal 3" xfId="2" xr:uid="{6E8AD4B3-51D9-495C-8B32-4DD4BFE880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0</xdr:row>
      <xdr:rowOff>28575</xdr:rowOff>
    </xdr:from>
    <xdr:to>
      <xdr:col>1</xdr:col>
      <xdr:colOff>1343025</xdr:colOff>
      <xdr:row>5</xdr:row>
      <xdr:rowOff>0</xdr:rowOff>
    </xdr:to>
    <xdr:pic>
      <xdr:nvPicPr>
        <xdr:cNvPr id="19840" name="Picture 2" descr="colegio de san pedro">
          <a:extLst>
            <a:ext uri="{FF2B5EF4-FFF2-40B4-BE49-F238E27FC236}">
              <a16:creationId xmlns:a16="http://schemas.microsoft.com/office/drawing/2014/main" id="{22E7C4FD-57DF-387F-0668-FA5D0FE1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28575"/>
          <a:ext cx="9810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0B67-38C7-4541-B4E7-D8576FFC06F7}">
  <sheetPr codeName="Sheet54">
    <tabColor rgb="FFFFFF00"/>
  </sheetPr>
  <dimension ref="A1:H139"/>
  <sheetViews>
    <sheetView tabSelected="1" view="pageBreakPreview" topLeftCell="A7" zoomScale="82" zoomScaleNormal="100" zoomScaleSheetLayoutView="82" workbookViewId="0">
      <selection activeCell="A28" sqref="A28:H28"/>
    </sheetView>
  </sheetViews>
  <sheetFormatPr defaultRowHeight="12.75" x14ac:dyDescent="0.2"/>
  <cols>
    <col min="1" max="1" width="9.28515625" style="2" customWidth="1"/>
    <col min="2" max="2" width="43.5703125" style="2" customWidth="1"/>
    <col min="3" max="3" width="5" style="7" customWidth="1"/>
    <col min="4" max="4" width="4.85546875" style="7" customWidth="1"/>
    <col min="5" max="5" width="19.28515625" style="16" customWidth="1"/>
    <col min="6" max="6" width="14.42578125" customWidth="1"/>
  </cols>
  <sheetData>
    <row r="1" spans="1:8" ht="18" x14ac:dyDescent="0.25">
      <c r="A1" s="107" t="s">
        <v>17</v>
      </c>
      <c r="B1" s="107"/>
      <c r="C1" s="107"/>
      <c r="D1" s="107"/>
      <c r="E1" s="107"/>
      <c r="F1" s="107"/>
      <c r="G1" s="107"/>
      <c r="H1" s="107"/>
    </row>
    <row r="2" spans="1:8" x14ac:dyDescent="0.2">
      <c r="A2" s="106" t="s">
        <v>19</v>
      </c>
      <c r="B2" s="106"/>
      <c r="C2" s="106"/>
      <c r="D2" s="106"/>
      <c r="E2" s="106"/>
      <c r="F2" s="106"/>
      <c r="G2" s="106"/>
      <c r="H2" s="106"/>
    </row>
    <row r="3" spans="1:8" x14ac:dyDescent="0.2">
      <c r="A3" s="92" t="s">
        <v>18</v>
      </c>
      <c r="B3" s="92"/>
      <c r="C3" s="92"/>
      <c r="D3" s="92"/>
      <c r="E3" s="92"/>
      <c r="F3" s="92"/>
      <c r="G3" s="92"/>
      <c r="H3" s="92"/>
    </row>
    <row r="5" spans="1:8" x14ac:dyDescent="0.2">
      <c r="A5" s="92" t="s">
        <v>45</v>
      </c>
      <c r="B5" s="92"/>
      <c r="C5" s="92"/>
      <c r="D5" s="92"/>
      <c r="E5" s="92"/>
      <c r="F5" s="92"/>
      <c r="G5" s="92"/>
      <c r="H5" s="92"/>
    </row>
    <row r="6" spans="1:8" x14ac:dyDescent="0.2">
      <c r="A6" s="92" t="s">
        <v>31</v>
      </c>
      <c r="B6" s="92"/>
      <c r="C6" s="92"/>
      <c r="D6" s="92"/>
      <c r="E6" s="92"/>
    </row>
    <row r="7" spans="1:8" x14ac:dyDescent="0.2">
      <c r="A7" s="1"/>
      <c r="B7" s="1"/>
      <c r="C7" s="1"/>
      <c r="D7" s="1"/>
      <c r="E7" s="1"/>
    </row>
    <row r="8" spans="1:8" x14ac:dyDescent="0.2">
      <c r="A8" s="92" t="s">
        <v>20</v>
      </c>
      <c r="B8" s="92"/>
      <c r="C8" s="92"/>
      <c r="D8" s="92"/>
      <c r="E8" s="92"/>
      <c r="F8" s="92"/>
      <c r="G8" s="92"/>
      <c r="H8" s="92"/>
    </row>
    <row r="9" spans="1:8" x14ac:dyDescent="0.2">
      <c r="A9" s="88"/>
      <c r="B9" s="88"/>
      <c r="C9" s="88"/>
      <c r="D9" s="88"/>
      <c r="E9" s="88"/>
      <c r="F9" s="88"/>
    </row>
    <row r="10" spans="1:8" x14ac:dyDescent="0.2">
      <c r="A10" s="1"/>
      <c r="B10" s="1"/>
      <c r="C10" s="1"/>
      <c r="D10" s="1"/>
      <c r="E10" s="8"/>
    </row>
    <row r="11" spans="1:8" ht="15.75" x14ac:dyDescent="0.25">
      <c r="A11" s="101" t="s">
        <v>39</v>
      </c>
      <c r="B11" s="101"/>
      <c r="C11" s="101"/>
      <c r="D11" s="101"/>
      <c r="E11" s="101"/>
      <c r="F11" s="101"/>
      <c r="G11" s="101"/>
      <c r="H11" s="101"/>
    </row>
    <row r="12" spans="1:8" x14ac:dyDescent="0.2">
      <c r="A12" s="1"/>
      <c r="B12" s="1"/>
      <c r="C12" s="1"/>
      <c r="D12" s="1"/>
      <c r="E12" s="1"/>
    </row>
    <row r="13" spans="1:8" hidden="1" x14ac:dyDescent="0.2">
      <c r="A13" s="1" t="s">
        <v>113</v>
      </c>
      <c r="B13" s="6"/>
      <c r="C13" s="1"/>
      <c r="D13" s="1"/>
      <c r="E13" s="1"/>
      <c r="F13" s="1"/>
    </row>
    <row r="14" spans="1:8" ht="13.5" hidden="1" thickBot="1" x14ac:dyDescent="0.25">
      <c r="A14" s="1"/>
      <c r="B14" s="1"/>
      <c r="C14" s="1"/>
      <c r="D14" s="1"/>
      <c r="E14" s="5"/>
    </row>
    <row r="15" spans="1:8" ht="18.75" hidden="1" thickBot="1" x14ac:dyDescent="0.3">
      <c r="A15" s="94" t="s">
        <v>92</v>
      </c>
      <c r="B15" s="95"/>
      <c r="C15" s="95"/>
      <c r="D15" s="95"/>
      <c r="E15" s="95"/>
      <c r="F15" s="96"/>
    </row>
    <row r="16" spans="1:8" s="12" customFormat="1" ht="10.5" hidden="1" customHeight="1" thickBot="1" x14ac:dyDescent="0.3">
      <c r="A16" s="10"/>
      <c r="B16" s="11"/>
      <c r="C16" s="11"/>
      <c r="D16" s="11"/>
      <c r="E16" s="11"/>
      <c r="F16" s="11"/>
    </row>
    <row r="17" spans="1:8" ht="13.5" hidden="1" thickBot="1" x14ac:dyDescent="0.25">
      <c r="A17" s="3" t="s">
        <v>0</v>
      </c>
      <c r="B17" s="3" t="s">
        <v>2</v>
      </c>
      <c r="C17" s="89" t="s">
        <v>4</v>
      </c>
      <c r="D17" s="90"/>
      <c r="E17" s="13" t="s">
        <v>93</v>
      </c>
      <c r="F17" s="50" t="s">
        <v>112</v>
      </c>
    </row>
    <row r="18" spans="1:8" ht="13.5" hidden="1" thickBot="1" x14ac:dyDescent="0.25">
      <c r="A18" s="4" t="s">
        <v>1</v>
      </c>
      <c r="B18" s="4" t="s">
        <v>3</v>
      </c>
      <c r="C18" s="4" t="s">
        <v>46</v>
      </c>
      <c r="D18" s="4" t="s">
        <v>47</v>
      </c>
      <c r="E18" s="14" t="s">
        <v>113</v>
      </c>
      <c r="F18" s="51"/>
    </row>
    <row r="19" spans="1:8" s="21" customFormat="1" hidden="1" x14ac:dyDescent="0.2">
      <c r="A19" s="17" t="s">
        <v>94</v>
      </c>
      <c r="B19" s="18" t="s">
        <v>95</v>
      </c>
      <c r="C19" s="19">
        <v>3</v>
      </c>
      <c r="D19" s="19"/>
      <c r="E19" s="19" t="s">
        <v>7</v>
      </c>
      <c r="F19" s="45"/>
    </row>
    <row r="20" spans="1:8" s="21" customFormat="1" hidden="1" x14ac:dyDescent="0.2">
      <c r="A20" s="22" t="s">
        <v>96</v>
      </c>
      <c r="B20" s="23" t="s">
        <v>97</v>
      </c>
      <c r="C20" s="24">
        <v>3</v>
      </c>
      <c r="D20" s="24"/>
      <c r="E20" s="24" t="s">
        <v>7</v>
      </c>
      <c r="F20" s="25"/>
    </row>
    <row r="21" spans="1:8" s="21" customFormat="1" hidden="1" x14ac:dyDescent="0.2">
      <c r="A21" s="22" t="s">
        <v>98</v>
      </c>
      <c r="B21" s="23" t="s">
        <v>99</v>
      </c>
      <c r="C21" s="26">
        <v>3</v>
      </c>
      <c r="D21" s="26"/>
      <c r="E21" s="26" t="s">
        <v>7</v>
      </c>
      <c r="F21" s="25"/>
    </row>
    <row r="22" spans="1:8" s="21" customFormat="1" hidden="1" x14ac:dyDescent="0.2">
      <c r="A22" s="22" t="s">
        <v>100</v>
      </c>
      <c r="B22" s="15" t="s">
        <v>101</v>
      </c>
      <c r="C22" s="26">
        <v>3</v>
      </c>
      <c r="D22" s="26"/>
      <c r="E22" s="26" t="s">
        <v>7</v>
      </c>
      <c r="F22" s="25"/>
    </row>
    <row r="23" spans="1:8" s="21" customFormat="1" hidden="1" x14ac:dyDescent="0.2">
      <c r="A23" s="22" t="s">
        <v>102</v>
      </c>
      <c r="B23" s="15" t="s">
        <v>103</v>
      </c>
      <c r="C23" s="26">
        <v>3</v>
      </c>
      <c r="D23" s="26"/>
      <c r="E23" s="26" t="s">
        <v>7</v>
      </c>
      <c r="F23" s="25"/>
    </row>
    <row r="24" spans="1:8" s="21" customFormat="1" ht="13.5" hidden="1" thickBot="1" x14ac:dyDescent="0.25">
      <c r="A24" s="27" t="s">
        <v>41</v>
      </c>
      <c r="B24" s="28" t="s">
        <v>49</v>
      </c>
      <c r="C24" s="29">
        <v>3</v>
      </c>
      <c r="D24" s="29">
        <v>1</v>
      </c>
      <c r="E24" s="29" t="s">
        <v>7</v>
      </c>
      <c r="F24" s="30"/>
    </row>
    <row r="25" spans="1:8" s="21" customFormat="1" ht="13.5" hidden="1" thickBot="1" x14ac:dyDescent="0.25">
      <c r="A25" s="31"/>
      <c r="B25" s="31"/>
      <c r="C25" s="32">
        <f>SUM(C19:C24)</f>
        <v>18</v>
      </c>
      <c r="D25" s="32">
        <f>SUM(D19:D24)</f>
        <v>1</v>
      </c>
      <c r="E25" s="33"/>
    </row>
    <row r="26" spans="1:8" x14ac:dyDescent="0.2">
      <c r="A26" s="1"/>
      <c r="B26" s="1"/>
      <c r="C26" s="1"/>
      <c r="D26" s="1"/>
      <c r="E26" s="85"/>
      <c r="F26" s="86"/>
    </row>
    <row r="27" spans="1:8" ht="18" x14ac:dyDescent="0.25">
      <c r="A27" s="104" t="s">
        <v>5</v>
      </c>
      <c r="B27" s="105"/>
      <c r="C27" s="105"/>
      <c r="D27" s="105"/>
      <c r="E27" s="105"/>
      <c r="F27" s="105"/>
      <c r="G27" s="105"/>
      <c r="H27" s="105"/>
    </row>
    <row r="28" spans="1:8" ht="15.75" thickBot="1" x14ac:dyDescent="0.3">
      <c r="A28" s="91" t="s">
        <v>6</v>
      </c>
      <c r="B28" s="91"/>
      <c r="C28" s="91"/>
      <c r="D28" s="91"/>
      <c r="E28" s="91"/>
    </row>
    <row r="29" spans="1:8" ht="13.5" thickBot="1" x14ac:dyDescent="0.25">
      <c r="A29" s="3" t="s">
        <v>0</v>
      </c>
      <c r="B29" s="97" t="s">
        <v>165</v>
      </c>
      <c r="C29" s="89" t="s">
        <v>4</v>
      </c>
      <c r="D29" s="90"/>
      <c r="E29" s="97" t="s">
        <v>93</v>
      </c>
      <c r="F29" s="97" t="s">
        <v>112</v>
      </c>
      <c r="G29" s="99" t="s">
        <v>163</v>
      </c>
      <c r="H29" s="102" t="s">
        <v>164</v>
      </c>
    </row>
    <row r="30" spans="1:8" ht="13.5" thickBot="1" x14ac:dyDescent="0.25">
      <c r="A30" s="4" t="s">
        <v>1</v>
      </c>
      <c r="B30" s="98"/>
      <c r="C30" s="4" t="s">
        <v>46</v>
      </c>
      <c r="D30" s="4" t="s">
        <v>47</v>
      </c>
      <c r="E30" s="98"/>
      <c r="F30" s="98"/>
      <c r="G30" s="100"/>
      <c r="H30" s="103"/>
    </row>
    <row r="31" spans="1:8" s="21" customFormat="1" x14ac:dyDescent="0.2">
      <c r="A31" s="34" t="s">
        <v>42</v>
      </c>
      <c r="B31" s="34" t="s">
        <v>32</v>
      </c>
      <c r="C31" s="19">
        <v>3</v>
      </c>
      <c r="D31" s="19"/>
      <c r="E31" s="19" t="s">
        <v>7</v>
      </c>
      <c r="F31" s="71"/>
      <c r="G31" s="80" t="s">
        <v>166</v>
      </c>
      <c r="H31" s="81"/>
    </row>
    <row r="32" spans="1:8" s="21" customFormat="1" x14ac:dyDescent="0.2">
      <c r="A32" s="44" t="s">
        <v>44</v>
      </c>
      <c r="B32" s="35" t="s">
        <v>122</v>
      </c>
      <c r="C32" s="24">
        <v>3</v>
      </c>
      <c r="D32" s="24"/>
      <c r="E32" s="24" t="s">
        <v>7</v>
      </c>
      <c r="F32" s="72"/>
      <c r="G32" s="76" t="s">
        <v>167</v>
      </c>
      <c r="H32" s="77"/>
    </row>
    <row r="33" spans="1:8" s="21" customFormat="1" x14ac:dyDescent="0.2">
      <c r="A33" s="44" t="s">
        <v>70</v>
      </c>
      <c r="B33" s="35" t="s">
        <v>34</v>
      </c>
      <c r="C33" s="24">
        <v>3</v>
      </c>
      <c r="D33" s="24"/>
      <c r="E33" s="24" t="s">
        <v>7</v>
      </c>
      <c r="F33" s="72"/>
      <c r="G33" s="76" t="s">
        <v>168</v>
      </c>
      <c r="H33" s="77"/>
    </row>
    <row r="34" spans="1:8" s="21" customFormat="1" x14ac:dyDescent="0.2">
      <c r="A34" s="44" t="s">
        <v>40</v>
      </c>
      <c r="B34" s="35" t="s">
        <v>48</v>
      </c>
      <c r="C34" s="24">
        <v>3</v>
      </c>
      <c r="D34" s="24"/>
      <c r="E34" s="24" t="s">
        <v>7</v>
      </c>
      <c r="F34" s="72"/>
      <c r="G34" s="76" t="s">
        <v>169</v>
      </c>
      <c r="H34" s="77"/>
    </row>
    <row r="35" spans="1:8" s="21" customFormat="1" x14ac:dyDescent="0.2">
      <c r="A35" s="56" t="s">
        <v>41</v>
      </c>
      <c r="B35" s="56" t="s">
        <v>22</v>
      </c>
      <c r="C35" s="57">
        <v>2</v>
      </c>
      <c r="D35" s="57">
        <v>1</v>
      </c>
      <c r="E35" s="57" t="s">
        <v>7</v>
      </c>
      <c r="F35" s="73"/>
      <c r="G35" s="76" t="s">
        <v>170</v>
      </c>
      <c r="H35" s="77"/>
    </row>
    <row r="36" spans="1:8" s="21" customFormat="1" x14ac:dyDescent="0.2">
      <c r="A36" s="35" t="s">
        <v>9</v>
      </c>
      <c r="B36" s="35" t="s">
        <v>123</v>
      </c>
      <c r="C36" s="26">
        <v>3</v>
      </c>
      <c r="D36" s="26"/>
      <c r="E36" s="26" t="s">
        <v>7</v>
      </c>
      <c r="F36" s="74"/>
      <c r="G36" s="76" t="s">
        <v>171</v>
      </c>
      <c r="H36" s="77"/>
    </row>
    <row r="37" spans="1:8" s="21" customFormat="1" ht="13.5" thickBot="1" x14ac:dyDescent="0.25">
      <c r="A37" s="28" t="s">
        <v>8</v>
      </c>
      <c r="B37" s="28" t="s">
        <v>23</v>
      </c>
      <c r="C37" s="36">
        <v>2</v>
      </c>
      <c r="D37" s="37"/>
      <c r="E37" s="36" t="s">
        <v>7</v>
      </c>
      <c r="F37" s="75"/>
      <c r="G37" s="78" t="s">
        <v>171</v>
      </c>
      <c r="H37" s="79"/>
    </row>
    <row r="38" spans="1:8" s="21" customFormat="1" ht="13.5" thickBot="1" x14ac:dyDescent="0.25">
      <c r="A38" s="53"/>
      <c r="B38" s="53"/>
      <c r="C38" s="38">
        <f>SUM(C31:C37)</f>
        <v>19</v>
      </c>
      <c r="D38" s="38">
        <f>SUM(D31:D37)</f>
        <v>1</v>
      </c>
      <c r="E38" s="54"/>
      <c r="F38" s="55"/>
    </row>
    <row r="39" spans="1:8" x14ac:dyDescent="0.2">
      <c r="C39" s="9"/>
      <c r="D39" s="9"/>
    </row>
    <row r="40" spans="1:8" ht="15.75" thickBot="1" x14ac:dyDescent="0.3">
      <c r="A40" s="91" t="s">
        <v>10</v>
      </c>
      <c r="B40" s="91"/>
      <c r="C40" s="91"/>
      <c r="D40" s="91"/>
      <c r="E40" s="91"/>
    </row>
    <row r="41" spans="1:8" ht="13.5" thickBot="1" x14ac:dyDescent="0.25">
      <c r="A41" s="3" t="s">
        <v>0</v>
      </c>
      <c r="B41" s="97" t="s">
        <v>165</v>
      </c>
      <c r="C41" s="89" t="s">
        <v>4</v>
      </c>
      <c r="D41" s="90"/>
      <c r="E41" s="97" t="s">
        <v>93</v>
      </c>
      <c r="F41" s="97" t="s">
        <v>112</v>
      </c>
      <c r="G41" s="99" t="s">
        <v>163</v>
      </c>
      <c r="H41" s="102" t="s">
        <v>164</v>
      </c>
    </row>
    <row r="42" spans="1:8" ht="13.5" thickBot="1" x14ac:dyDescent="0.25">
      <c r="A42" s="4" t="s">
        <v>1</v>
      </c>
      <c r="B42" s="98"/>
      <c r="C42" s="4" t="s">
        <v>46</v>
      </c>
      <c r="D42" s="4" t="s">
        <v>47</v>
      </c>
      <c r="E42" s="98"/>
      <c r="F42" s="98"/>
      <c r="G42" s="100"/>
      <c r="H42" s="103"/>
    </row>
    <row r="43" spans="1:8" x14ac:dyDescent="0.2">
      <c r="A43" s="34" t="s">
        <v>73</v>
      </c>
      <c r="B43" s="67" t="s">
        <v>36</v>
      </c>
      <c r="C43" s="19">
        <v>3</v>
      </c>
      <c r="D43" s="60"/>
      <c r="E43" s="19" t="s">
        <v>7</v>
      </c>
      <c r="F43" s="20"/>
      <c r="G43" s="80" t="s">
        <v>174</v>
      </c>
      <c r="H43" s="81"/>
    </row>
    <row r="44" spans="1:8" x14ac:dyDescent="0.2">
      <c r="A44" s="44" t="s">
        <v>107</v>
      </c>
      <c r="B44" s="42" t="s">
        <v>38</v>
      </c>
      <c r="C44" s="64">
        <v>3</v>
      </c>
      <c r="D44" s="62"/>
      <c r="E44" s="26" t="s">
        <v>7</v>
      </c>
      <c r="F44" s="25"/>
      <c r="G44" s="76" t="s">
        <v>166</v>
      </c>
      <c r="H44" s="77"/>
    </row>
    <row r="45" spans="1:8" s="21" customFormat="1" x14ac:dyDescent="0.2">
      <c r="A45" s="44" t="s">
        <v>71</v>
      </c>
      <c r="B45" s="42" t="s">
        <v>124</v>
      </c>
      <c r="C45" s="26">
        <v>3</v>
      </c>
      <c r="D45" s="61"/>
      <c r="E45" s="26" t="s">
        <v>7</v>
      </c>
      <c r="F45" s="25"/>
      <c r="G45" s="76" t="s">
        <v>170</v>
      </c>
      <c r="H45" s="77"/>
    </row>
    <row r="46" spans="1:8" x14ac:dyDescent="0.2">
      <c r="A46" s="44" t="s">
        <v>74</v>
      </c>
      <c r="B46" s="42" t="s">
        <v>51</v>
      </c>
      <c r="C46" s="64">
        <v>3</v>
      </c>
      <c r="D46" s="62">
        <v>1</v>
      </c>
      <c r="E46" s="26" t="s">
        <v>41</v>
      </c>
      <c r="F46" s="25"/>
      <c r="G46" s="76" t="s">
        <v>173</v>
      </c>
      <c r="H46" s="77"/>
    </row>
    <row r="47" spans="1:8" x14ac:dyDescent="0.2">
      <c r="A47" s="44" t="s">
        <v>75</v>
      </c>
      <c r="B47" s="42" t="s">
        <v>52</v>
      </c>
      <c r="C47" s="64">
        <v>2</v>
      </c>
      <c r="D47" s="62">
        <v>1</v>
      </c>
      <c r="E47" s="26" t="s">
        <v>7</v>
      </c>
      <c r="F47" s="25"/>
      <c r="G47" s="76" t="s">
        <v>170</v>
      </c>
      <c r="H47" s="77"/>
    </row>
    <row r="48" spans="1:8" x14ac:dyDescent="0.2">
      <c r="A48" s="44" t="s">
        <v>76</v>
      </c>
      <c r="B48" s="42" t="s">
        <v>53</v>
      </c>
      <c r="C48" s="64">
        <v>3</v>
      </c>
      <c r="D48" s="62"/>
      <c r="E48" s="26" t="s">
        <v>40</v>
      </c>
      <c r="F48" s="25"/>
      <c r="G48" s="76" t="s">
        <v>166</v>
      </c>
      <c r="H48" s="77"/>
    </row>
    <row r="49" spans="1:8" x14ac:dyDescent="0.2">
      <c r="A49" s="44" t="s">
        <v>12</v>
      </c>
      <c r="B49" s="42" t="s">
        <v>125</v>
      </c>
      <c r="C49" s="64">
        <v>3</v>
      </c>
      <c r="D49" s="62"/>
      <c r="E49" s="26" t="s">
        <v>7</v>
      </c>
      <c r="F49" s="25"/>
      <c r="G49" s="76" t="s">
        <v>172</v>
      </c>
      <c r="H49" s="77"/>
    </row>
    <row r="50" spans="1:8" ht="13.5" thickBot="1" x14ac:dyDescent="0.25">
      <c r="A50" s="27" t="s">
        <v>11</v>
      </c>
      <c r="B50" s="43" t="s">
        <v>72</v>
      </c>
      <c r="C50" s="65">
        <v>2</v>
      </c>
      <c r="D50" s="63"/>
      <c r="E50" s="36" t="s">
        <v>8</v>
      </c>
      <c r="F50" s="30"/>
      <c r="G50" s="78" t="s">
        <v>170</v>
      </c>
      <c r="H50" s="79"/>
    </row>
    <row r="51" spans="1:8" ht="13.5" thickBot="1" x14ac:dyDescent="0.25">
      <c r="A51" s="9"/>
      <c r="B51" s="9"/>
      <c r="C51" s="38">
        <f>SUM(C43:C50)</f>
        <v>22</v>
      </c>
      <c r="D51" s="38">
        <f>SUM(D43:D50)</f>
        <v>2</v>
      </c>
      <c r="E51" s="9"/>
      <c r="F51" s="66"/>
    </row>
    <row r="52" spans="1:8" x14ac:dyDescent="0.2">
      <c r="C52" s="9"/>
      <c r="D52" s="9"/>
    </row>
    <row r="53" spans="1:8" ht="18" x14ac:dyDescent="0.25">
      <c r="A53" s="104" t="s">
        <v>13</v>
      </c>
      <c r="B53" s="105"/>
      <c r="C53" s="105"/>
      <c r="D53" s="105"/>
      <c r="E53" s="105"/>
      <c r="F53" s="105"/>
      <c r="G53" s="105"/>
      <c r="H53" s="105"/>
    </row>
    <row r="54" spans="1:8" ht="15.75" thickBot="1" x14ac:dyDescent="0.3">
      <c r="A54" s="91" t="s">
        <v>6</v>
      </c>
      <c r="B54" s="91"/>
      <c r="C54" s="91"/>
      <c r="D54" s="91"/>
      <c r="E54" s="91"/>
    </row>
    <row r="55" spans="1:8" ht="13.5" thickBot="1" x14ac:dyDescent="0.25">
      <c r="A55" s="3" t="s">
        <v>0</v>
      </c>
      <c r="B55" s="97" t="s">
        <v>165</v>
      </c>
      <c r="C55" s="89" t="s">
        <v>4</v>
      </c>
      <c r="D55" s="90"/>
      <c r="E55" s="97" t="s">
        <v>93</v>
      </c>
      <c r="F55" s="97" t="s">
        <v>112</v>
      </c>
      <c r="G55" s="99" t="s">
        <v>163</v>
      </c>
      <c r="H55" s="102" t="s">
        <v>164</v>
      </c>
    </row>
    <row r="56" spans="1:8" ht="13.5" thickBot="1" x14ac:dyDescent="0.25">
      <c r="A56" s="4" t="s">
        <v>1</v>
      </c>
      <c r="B56" s="98"/>
      <c r="C56" s="4" t="s">
        <v>46</v>
      </c>
      <c r="D56" s="4" t="s">
        <v>47</v>
      </c>
      <c r="E56" s="98"/>
      <c r="F56" s="98"/>
      <c r="G56" s="100"/>
      <c r="H56" s="103"/>
    </row>
    <row r="57" spans="1:8" s="21" customFormat="1" x14ac:dyDescent="0.2">
      <c r="A57" s="44" t="s">
        <v>126</v>
      </c>
      <c r="B57" s="44" t="s">
        <v>50</v>
      </c>
      <c r="C57" s="24">
        <v>3</v>
      </c>
      <c r="D57" s="24"/>
      <c r="E57" s="46" t="s">
        <v>70</v>
      </c>
      <c r="F57" s="45"/>
      <c r="G57" s="80" t="s">
        <v>167</v>
      </c>
      <c r="H57" s="81"/>
    </row>
    <row r="58" spans="1:8" s="21" customFormat="1" x14ac:dyDescent="0.2">
      <c r="A58" s="44" t="s">
        <v>106</v>
      </c>
      <c r="B58" s="44" t="s">
        <v>37</v>
      </c>
      <c r="C58" s="24">
        <v>3</v>
      </c>
      <c r="D58" s="24"/>
      <c r="E58" s="46" t="s">
        <v>7</v>
      </c>
      <c r="F58" s="45"/>
      <c r="G58" s="76" t="s">
        <v>166</v>
      </c>
      <c r="H58" s="77"/>
    </row>
    <row r="59" spans="1:8" s="21" customFormat="1" x14ac:dyDescent="0.2">
      <c r="A59" s="44" t="s">
        <v>108</v>
      </c>
      <c r="B59" s="44" t="s">
        <v>127</v>
      </c>
      <c r="C59" s="24">
        <v>3</v>
      </c>
      <c r="D59" s="24"/>
      <c r="E59" s="46" t="s">
        <v>7</v>
      </c>
      <c r="F59" s="45"/>
      <c r="G59" s="76" t="s">
        <v>173</v>
      </c>
      <c r="H59" s="77"/>
    </row>
    <row r="60" spans="1:8" s="21" customFormat="1" x14ac:dyDescent="0.2">
      <c r="A60" s="44" t="s">
        <v>77</v>
      </c>
      <c r="B60" s="44" t="s">
        <v>54</v>
      </c>
      <c r="C60" s="24">
        <v>2</v>
      </c>
      <c r="D60" s="24">
        <v>1</v>
      </c>
      <c r="E60" s="46" t="s">
        <v>74</v>
      </c>
      <c r="F60" s="45"/>
      <c r="G60" s="87" t="s">
        <v>172</v>
      </c>
      <c r="H60" s="77"/>
    </row>
    <row r="61" spans="1:8" s="21" customFormat="1" x14ac:dyDescent="0.2">
      <c r="A61" s="44" t="s">
        <v>78</v>
      </c>
      <c r="B61" s="44" t="s">
        <v>114</v>
      </c>
      <c r="C61" s="24">
        <v>3</v>
      </c>
      <c r="D61" s="24"/>
      <c r="E61" s="46" t="s">
        <v>138</v>
      </c>
      <c r="F61" s="45"/>
      <c r="G61" s="76" t="s">
        <v>172</v>
      </c>
      <c r="H61" s="77"/>
    </row>
    <row r="62" spans="1:8" s="21" customFormat="1" x14ac:dyDescent="0.2">
      <c r="A62" s="35" t="s">
        <v>79</v>
      </c>
      <c r="B62" s="35" t="s">
        <v>57</v>
      </c>
      <c r="C62" s="26">
        <v>2</v>
      </c>
      <c r="D62" s="26">
        <v>1</v>
      </c>
      <c r="E62" s="39" t="s">
        <v>75</v>
      </c>
      <c r="F62" s="25"/>
      <c r="G62" s="76" t="s">
        <v>174</v>
      </c>
      <c r="H62" s="77"/>
    </row>
    <row r="63" spans="1:8" s="21" customFormat="1" ht="13.5" thickBot="1" x14ac:dyDescent="0.25">
      <c r="A63" s="28" t="s">
        <v>14</v>
      </c>
      <c r="B63" s="28" t="s">
        <v>24</v>
      </c>
      <c r="C63" s="36">
        <v>2</v>
      </c>
      <c r="D63" s="36"/>
      <c r="E63" s="40" t="s">
        <v>8</v>
      </c>
      <c r="F63" s="30"/>
      <c r="G63" s="78" t="s">
        <v>166</v>
      </c>
      <c r="H63" s="79"/>
    </row>
    <row r="64" spans="1:8" s="21" customFormat="1" ht="13.5" thickBot="1" x14ac:dyDescent="0.25">
      <c r="A64" s="31"/>
      <c r="B64" s="31"/>
      <c r="C64" s="38">
        <f>SUM(C57:C63)</f>
        <v>18</v>
      </c>
      <c r="D64" s="38">
        <f>SUM(D57:D63)</f>
        <v>2</v>
      </c>
      <c r="E64" s="33"/>
    </row>
    <row r="65" spans="1:8" s="21" customFormat="1" x14ac:dyDescent="0.2">
      <c r="A65" s="31"/>
      <c r="B65" s="31"/>
      <c r="C65" s="41"/>
      <c r="D65" s="41"/>
      <c r="E65" s="33"/>
    </row>
    <row r="66" spans="1:8" ht="15.75" thickBot="1" x14ac:dyDescent="0.3">
      <c r="A66" s="91" t="s">
        <v>15</v>
      </c>
      <c r="B66" s="91"/>
      <c r="C66" s="91"/>
      <c r="D66" s="91"/>
      <c r="E66" s="91"/>
    </row>
    <row r="67" spans="1:8" ht="13.5" thickBot="1" x14ac:dyDescent="0.25">
      <c r="A67" s="3" t="s">
        <v>0</v>
      </c>
      <c r="B67" s="97" t="s">
        <v>165</v>
      </c>
      <c r="C67" s="89" t="s">
        <v>4</v>
      </c>
      <c r="D67" s="90"/>
      <c r="E67" s="97" t="s">
        <v>93</v>
      </c>
      <c r="F67" s="97" t="s">
        <v>112</v>
      </c>
      <c r="G67" s="99" t="s">
        <v>163</v>
      </c>
      <c r="H67" s="102" t="s">
        <v>164</v>
      </c>
    </row>
    <row r="68" spans="1:8" ht="13.5" thickBot="1" x14ac:dyDescent="0.25">
      <c r="A68" s="4" t="s">
        <v>1</v>
      </c>
      <c r="B68" s="98"/>
      <c r="C68" s="4" t="s">
        <v>46</v>
      </c>
      <c r="D68" s="4" t="s">
        <v>47</v>
      </c>
      <c r="E68" s="98"/>
      <c r="F68" s="98"/>
      <c r="G68" s="100"/>
      <c r="H68" s="103"/>
    </row>
    <row r="69" spans="1:8" s="21" customFormat="1" x14ac:dyDescent="0.2">
      <c r="A69" s="44" t="s">
        <v>104</v>
      </c>
      <c r="B69" s="44" t="s">
        <v>21</v>
      </c>
      <c r="C69" s="24">
        <v>3</v>
      </c>
      <c r="D69" s="24"/>
      <c r="E69" s="24" t="s">
        <v>7</v>
      </c>
      <c r="F69" s="45"/>
      <c r="G69" s="80" t="s">
        <v>168</v>
      </c>
      <c r="H69" s="81"/>
    </row>
    <row r="70" spans="1:8" s="21" customFormat="1" x14ac:dyDescent="0.2">
      <c r="A70" s="44" t="s">
        <v>105</v>
      </c>
      <c r="B70" s="44" t="s">
        <v>35</v>
      </c>
      <c r="C70" s="24">
        <v>3</v>
      </c>
      <c r="D70" s="24"/>
      <c r="E70" s="24" t="s">
        <v>7</v>
      </c>
      <c r="F70" s="45"/>
      <c r="G70" s="76" t="s">
        <v>168</v>
      </c>
      <c r="H70" s="77"/>
    </row>
    <row r="71" spans="1:8" s="21" customFormat="1" x14ac:dyDescent="0.2">
      <c r="A71" s="44" t="s">
        <v>80</v>
      </c>
      <c r="B71" s="44" t="s">
        <v>58</v>
      </c>
      <c r="C71" s="24">
        <v>3</v>
      </c>
      <c r="D71" s="24"/>
      <c r="E71" s="24" t="s">
        <v>139</v>
      </c>
      <c r="F71" s="45"/>
      <c r="G71" s="76" t="s">
        <v>179</v>
      </c>
      <c r="H71" s="77"/>
    </row>
    <row r="72" spans="1:8" s="21" customFormat="1" x14ac:dyDescent="0.2">
      <c r="A72" s="44" t="s">
        <v>69</v>
      </c>
      <c r="B72" s="44" t="s">
        <v>33</v>
      </c>
      <c r="C72" s="24">
        <v>3</v>
      </c>
      <c r="D72" s="24"/>
      <c r="E72" s="24" t="s">
        <v>7</v>
      </c>
      <c r="F72" s="45"/>
      <c r="G72" s="76" t="s">
        <v>172</v>
      </c>
      <c r="H72" s="77"/>
    </row>
    <row r="73" spans="1:8" s="21" customFormat="1" x14ac:dyDescent="0.2">
      <c r="A73" s="44" t="s">
        <v>81</v>
      </c>
      <c r="B73" s="44" t="s">
        <v>56</v>
      </c>
      <c r="C73" s="24">
        <v>2</v>
      </c>
      <c r="D73" s="24">
        <v>1</v>
      </c>
      <c r="E73" s="24" t="s">
        <v>76</v>
      </c>
      <c r="F73" s="45"/>
      <c r="G73" s="76" t="s">
        <v>168</v>
      </c>
      <c r="H73" s="77"/>
    </row>
    <row r="74" spans="1:8" s="21" customFormat="1" x14ac:dyDescent="0.2">
      <c r="A74" s="44" t="s">
        <v>43</v>
      </c>
      <c r="B74" s="44" t="s">
        <v>68</v>
      </c>
      <c r="C74" s="24">
        <v>3</v>
      </c>
      <c r="D74" s="24"/>
      <c r="E74" s="24" t="s">
        <v>7</v>
      </c>
      <c r="F74" s="45"/>
      <c r="G74" s="76" t="s">
        <v>172</v>
      </c>
      <c r="H74" s="77"/>
    </row>
    <row r="75" spans="1:8" s="21" customFormat="1" ht="13.5" thickBot="1" x14ac:dyDescent="0.25">
      <c r="A75" s="28" t="s">
        <v>16</v>
      </c>
      <c r="B75" s="28" t="s">
        <v>26</v>
      </c>
      <c r="C75" s="36">
        <v>2</v>
      </c>
      <c r="D75" s="36"/>
      <c r="E75" s="36" t="s">
        <v>8</v>
      </c>
      <c r="F75" s="30"/>
      <c r="G75" s="78" t="s">
        <v>168</v>
      </c>
      <c r="H75" s="79"/>
    </row>
    <row r="76" spans="1:8" s="21" customFormat="1" ht="13.5" thickBot="1" x14ac:dyDescent="0.25">
      <c r="A76" s="31"/>
      <c r="B76" s="31"/>
      <c r="C76" s="38">
        <f>SUM(C69:C75)</f>
        <v>19</v>
      </c>
      <c r="D76" s="38">
        <f>SUM(D69:D75)</f>
        <v>1</v>
      </c>
      <c r="E76" s="33"/>
    </row>
    <row r="77" spans="1:8" x14ac:dyDescent="0.2">
      <c r="C77" s="9"/>
      <c r="D77" s="9"/>
    </row>
    <row r="78" spans="1:8" ht="18" x14ac:dyDescent="0.25">
      <c r="A78" s="104" t="s">
        <v>27</v>
      </c>
      <c r="B78" s="105"/>
      <c r="C78" s="105"/>
      <c r="D78" s="105"/>
      <c r="E78" s="105"/>
      <c r="F78" s="105"/>
      <c r="G78" s="105"/>
      <c r="H78" s="105"/>
    </row>
    <row r="79" spans="1:8" ht="16.5" thickBot="1" x14ac:dyDescent="0.3">
      <c r="A79" s="93" t="s">
        <v>6</v>
      </c>
      <c r="B79" s="93"/>
      <c r="C79" s="93"/>
      <c r="D79" s="93"/>
      <c r="E79" s="93"/>
    </row>
    <row r="80" spans="1:8" ht="13.5" thickBot="1" x14ac:dyDescent="0.25">
      <c r="A80" s="3" t="s">
        <v>0</v>
      </c>
      <c r="B80" s="97" t="s">
        <v>165</v>
      </c>
      <c r="C80" s="89" t="s">
        <v>4</v>
      </c>
      <c r="D80" s="90"/>
      <c r="E80" s="97" t="s">
        <v>93</v>
      </c>
      <c r="F80" s="97" t="s">
        <v>112</v>
      </c>
      <c r="G80" s="99" t="s">
        <v>163</v>
      </c>
      <c r="H80" s="102" t="s">
        <v>164</v>
      </c>
    </row>
    <row r="81" spans="1:8" ht="13.5" thickBot="1" x14ac:dyDescent="0.25">
      <c r="A81" s="4" t="s">
        <v>1</v>
      </c>
      <c r="B81" s="98"/>
      <c r="C81" s="4" t="s">
        <v>46</v>
      </c>
      <c r="D81" s="4" t="s">
        <v>47</v>
      </c>
      <c r="E81" s="98"/>
      <c r="F81" s="98"/>
      <c r="G81" s="100"/>
      <c r="H81" s="103"/>
    </row>
    <row r="82" spans="1:8" s="21" customFormat="1" x14ac:dyDescent="0.2">
      <c r="A82" s="34" t="s">
        <v>141</v>
      </c>
      <c r="B82" s="68" t="s">
        <v>30</v>
      </c>
      <c r="C82" s="19">
        <v>3</v>
      </c>
      <c r="D82" s="39"/>
      <c r="E82" s="19" t="s">
        <v>143</v>
      </c>
      <c r="F82" s="20"/>
      <c r="G82" s="80" t="s">
        <v>173</v>
      </c>
      <c r="H82" s="81"/>
    </row>
    <row r="83" spans="1:8" s="21" customFormat="1" x14ac:dyDescent="0.2">
      <c r="A83" s="35" t="s">
        <v>142</v>
      </c>
      <c r="B83" s="83" t="s">
        <v>128</v>
      </c>
      <c r="C83" s="26">
        <v>2</v>
      </c>
      <c r="D83" s="39">
        <v>1</v>
      </c>
      <c r="E83" s="26" t="s">
        <v>80</v>
      </c>
      <c r="F83" s="25"/>
      <c r="G83" s="76" t="s">
        <v>168</v>
      </c>
      <c r="H83" s="77"/>
    </row>
    <row r="84" spans="1:8" s="21" customFormat="1" x14ac:dyDescent="0.2">
      <c r="A84" s="35" t="s">
        <v>84</v>
      </c>
      <c r="B84" s="68" t="s">
        <v>59</v>
      </c>
      <c r="C84" s="26">
        <v>3</v>
      </c>
      <c r="D84" s="39"/>
      <c r="E84" s="26" t="s">
        <v>144</v>
      </c>
      <c r="F84" s="25"/>
      <c r="G84" s="76" t="s">
        <v>169</v>
      </c>
      <c r="H84" s="77"/>
    </row>
    <row r="85" spans="1:8" s="21" customFormat="1" x14ac:dyDescent="0.2">
      <c r="A85" s="35" t="s">
        <v>82</v>
      </c>
      <c r="B85" s="68" t="s">
        <v>29</v>
      </c>
      <c r="C85" s="26">
        <v>2</v>
      </c>
      <c r="D85" s="39">
        <v>1</v>
      </c>
      <c r="E85" s="26" t="s">
        <v>80</v>
      </c>
      <c r="F85" s="25"/>
      <c r="G85" s="76" t="s">
        <v>175</v>
      </c>
      <c r="H85" s="77"/>
    </row>
    <row r="86" spans="1:8" s="21" customFormat="1" x14ac:dyDescent="0.2">
      <c r="A86" s="47" t="s">
        <v>83</v>
      </c>
      <c r="B86" s="53" t="s">
        <v>55</v>
      </c>
      <c r="C86" s="48">
        <v>3</v>
      </c>
      <c r="D86" s="52"/>
      <c r="E86" s="84" t="s">
        <v>145</v>
      </c>
      <c r="F86" s="49"/>
      <c r="G86" s="76" t="s">
        <v>168</v>
      </c>
      <c r="H86" s="77"/>
    </row>
    <row r="87" spans="1:8" s="21" customFormat="1" x14ac:dyDescent="0.2">
      <c r="A87" s="47" t="s">
        <v>85</v>
      </c>
      <c r="B87" s="21" t="s">
        <v>115</v>
      </c>
      <c r="C87" s="48">
        <v>3</v>
      </c>
      <c r="D87" s="52"/>
      <c r="E87" s="48" t="s">
        <v>146</v>
      </c>
      <c r="F87" s="49"/>
      <c r="G87" s="76" t="s">
        <v>178</v>
      </c>
      <c r="H87" s="77"/>
    </row>
    <row r="88" spans="1:8" s="21" customFormat="1" ht="13.5" thickBot="1" x14ac:dyDescent="0.25">
      <c r="A88" s="28" t="s">
        <v>140</v>
      </c>
      <c r="B88" s="69" t="s">
        <v>121</v>
      </c>
      <c r="C88" s="36">
        <v>2</v>
      </c>
      <c r="D88" s="40">
        <v>1</v>
      </c>
      <c r="E88" s="36" t="s">
        <v>120</v>
      </c>
      <c r="F88" s="30"/>
      <c r="G88" s="78" t="s">
        <v>177</v>
      </c>
      <c r="H88" s="79"/>
    </row>
    <row r="89" spans="1:8" s="21" customFormat="1" ht="13.5" thickBot="1" x14ac:dyDescent="0.25">
      <c r="A89" s="31"/>
      <c r="B89" s="31"/>
      <c r="C89" s="32">
        <f>SUM(C82:C88)</f>
        <v>18</v>
      </c>
      <c r="D89" s="32">
        <f>SUM(D82:D88)</f>
        <v>3</v>
      </c>
      <c r="E89" s="33"/>
    </row>
    <row r="90" spans="1:8" x14ac:dyDescent="0.2">
      <c r="C90" s="9"/>
      <c r="D90" s="9"/>
    </row>
    <row r="91" spans="1:8" ht="16.5" thickBot="1" x14ac:dyDescent="0.3">
      <c r="A91" s="93" t="s">
        <v>10</v>
      </c>
      <c r="B91" s="93"/>
      <c r="C91" s="93"/>
      <c r="D91" s="93"/>
      <c r="E91" s="93"/>
    </row>
    <row r="92" spans="1:8" ht="13.5" thickBot="1" x14ac:dyDescent="0.25">
      <c r="A92" s="3" t="s">
        <v>0</v>
      </c>
      <c r="B92" s="97" t="s">
        <v>165</v>
      </c>
      <c r="C92" s="89" t="s">
        <v>4</v>
      </c>
      <c r="D92" s="90"/>
      <c r="E92" s="97" t="s">
        <v>93</v>
      </c>
      <c r="F92" s="97" t="s">
        <v>112</v>
      </c>
      <c r="G92" s="99" t="s">
        <v>163</v>
      </c>
      <c r="H92" s="102" t="s">
        <v>164</v>
      </c>
    </row>
    <row r="93" spans="1:8" ht="13.5" thickBot="1" x14ac:dyDescent="0.25">
      <c r="A93" s="59" t="s">
        <v>1</v>
      </c>
      <c r="B93" s="98"/>
      <c r="C93" s="4" t="s">
        <v>46</v>
      </c>
      <c r="D93" s="4" t="s">
        <v>47</v>
      </c>
      <c r="E93" s="98"/>
      <c r="F93" s="98"/>
      <c r="G93" s="100"/>
      <c r="H93" s="103"/>
    </row>
    <row r="94" spans="1:8" s="21" customFormat="1" ht="12" customHeight="1" x14ac:dyDescent="0.2">
      <c r="A94" s="34" t="s">
        <v>86</v>
      </c>
      <c r="B94" s="34" t="s">
        <v>25</v>
      </c>
      <c r="C94" s="19">
        <v>3</v>
      </c>
      <c r="D94" s="19"/>
      <c r="E94" s="19" t="s">
        <v>149</v>
      </c>
      <c r="F94" s="20"/>
      <c r="G94" s="80" t="s">
        <v>168</v>
      </c>
      <c r="H94" s="81"/>
    </row>
    <row r="95" spans="1:8" s="21" customFormat="1" ht="12" customHeight="1" x14ac:dyDescent="0.2">
      <c r="A95" s="44" t="s">
        <v>87</v>
      </c>
      <c r="B95" s="44" t="s">
        <v>61</v>
      </c>
      <c r="C95" s="24">
        <v>3</v>
      </c>
      <c r="D95" s="24"/>
      <c r="E95" s="24" t="s">
        <v>82</v>
      </c>
      <c r="F95" s="45"/>
      <c r="G95" s="76" t="s">
        <v>166</v>
      </c>
      <c r="H95" s="77"/>
    </row>
    <row r="96" spans="1:8" s="21" customFormat="1" x14ac:dyDescent="0.2">
      <c r="A96" s="35" t="s">
        <v>148</v>
      </c>
      <c r="B96" s="35" t="s">
        <v>147</v>
      </c>
      <c r="C96" s="26">
        <v>2</v>
      </c>
      <c r="D96" s="26">
        <v>1</v>
      </c>
      <c r="E96" s="26" t="s">
        <v>140</v>
      </c>
      <c r="F96" s="25"/>
      <c r="G96" s="76" t="s">
        <v>176</v>
      </c>
      <c r="H96" s="77"/>
    </row>
    <row r="97" spans="1:8" s="21" customFormat="1" x14ac:dyDescent="0.2">
      <c r="A97" s="35" t="s">
        <v>88</v>
      </c>
      <c r="B97" s="35" t="s">
        <v>109</v>
      </c>
      <c r="C97" s="26">
        <v>3</v>
      </c>
      <c r="D97" s="26"/>
      <c r="E97" s="26" t="s">
        <v>63</v>
      </c>
      <c r="F97" s="25"/>
      <c r="G97" s="76" t="s">
        <v>173</v>
      </c>
      <c r="H97" s="77"/>
    </row>
    <row r="98" spans="1:8" s="21" customFormat="1" x14ac:dyDescent="0.2">
      <c r="A98" s="47" t="s">
        <v>89</v>
      </c>
      <c r="B98" s="47" t="s">
        <v>65</v>
      </c>
      <c r="C98" s="48">
        <v>3</v>
      </c>
      <c r="D98" s="48"/>
      <c r="E98" s="26" t="s">
        <v>63</v>
      </c>
      <c r="F98" s="49"/>
      <c r="G98" s="76"/>
      <c r="H98" s="77"/>
    </row>
    <row r="99" spans="1:8" s="21" customFormat="1" ht="13.5" thickBot="1" x14ac:dyDescent="0.25">
      <c r="A99" s="28" t="s">
        <v>90</v>
      </c>
      <c r="B99" s="28" t="s">
        <v>129</v>
      </c>
      <c r="C99" s="36">
        <v>2</v>
      </c>
      <c r="D99" s="36" t="s">
        <v>116</v>
      </c>
      <c r="E99" s="36" t="s">
        <v>150</v>
      </c>
      <c r="F99" s="30"/>
      <c r="G99" s="78" t="s">
        <v>167</v>
      </c>
      <c r="H99" s="79"/>
    </row>
    <row r="100" spans="1:8" s="21" customFormat="1" ht="13.5" thickBot="1" x14ac:dyDescent="0.25">
      <c r="A100" s="31"/>
      <c r="B100" s="31"/>
      <c r="C100" s="32">
        <f>SUM(C94:C99)</f>
        <v>16</v>
      </c>
      <c r="D100" s="32">
        <f>SUM(D94:D99)</f>
        <v>1</v>
      </c>
      <c r="E100" s="33"/>
    </row>
    <row r="101" spans="1:8" s="21" customFormat="1" x14ac:dyDescent="0.2">
      <c r="A101" s="31"/>
      <c r="B101" s="31"/>
      <c r="C101" s="41"/>
      <c r="D101" s="41"/>
      <c r="E101" s="33"/>
    </row>
    <row r="102" spans="1:8" s="21" customFormat="1" ht="16.5" thickBot="1" x14ac:dyDescent="0.3">
      <c r="A102" s="93" t="s">
        <v>111</v>
      </c>
      <c r="B102" s="93"/>
      <c r="C102" s="93"/>
      <c r="D102" s="93"/>
      <c r="E102" s="93"/>
      <c r="F102"/>
    </row>
    <row r="103" spans="1:8" s="21" customFormat="1" ht="13.5" thickBot="1" x14ac:dyDescent="0.25">
      <c r="A103" s="3" t="s">
        <v>0</v>
      </c>
      <c r="B103" s="97" t="s">
        <v>165</v>
      </c>
      <c r="C103" s="89" t="s">
        <v>4</v>
      </c>
      <c r="D103" s="90"/>
      <c r="E103" s="97" t="s">
        <v>93</v>
      </c>
      <c r="F103" s="97" t="s">
        <v>112</v>
      </c>
      <c r="G103" s="99" t="s">
        <v>163</v>
      </c>
      <c r="H103" s="102" t="s">
        <v>164</v>
      </c>
    </row>
    <row r="104" spans="1:8" s="21" customFormat="1" ht="13.5" thickBot="1" x14ac:dyDescent="0.25">
      <c r="A104" s="59" t="s">
        <v>1</v>
      </c>
      <c r="B104" s="98"/>
      <c r="C104" s="4" t="s">
        <v>46</v>
      </c>
      <c r="D104" s="4" t="s">
        <v>47</v>
      </c>
      <c r="E104" s="98"/>
      <c r="F104" s="98"/>
      <c r="G104" s="100"/>
      <c r="H104" s="103"/>
    </row>
    <row r="105" spans="1:8" s="21" customFormat="1" x14ac:dyDescent="0.2">
      <c r="A105" s="34" t="s">
        <v>130</v>
      </c>
      <c r="B105" s="34" t="s">
        <v>117</v>
      </c>
      <c r="C105" s="19">
        <v>2</v>
      </c>
      <c r="D105" s="19">
        <v>1</v>
      </c>
      <c r="E105" s="19" t="s">
        <v>148</v>
      </c>
      <c r="F105" s="20"/>
      <c r="G105" s="80"/>
      <c r="H105" s="81"/>
    </row>
    <row r="106" spans="1:8" s="21" customFormat="1" x14ac:dyDescent="0.2">
      <c r="A106" s="35" t="s">
        <v>89</v>
      </c>
      <c r="B106" s="35" t="s">
        <v>60</v>
      </c>
      <c r="C106" s="26">
        <v>3</v>
      </c>
      <c r="D106" s="26"/>
      <c r="E106" s="26" t="s">
        <v>63</v>
      </c>
      <c r="F106" s="25"/>
      <c r="G106" s="76"/>
      <c r="H106" s="77"/>
    </row>
    <row r="107" spans="1:8" s="21" customFormat="1" ht="13.5" thickBot="1" x14ac:dyDescent="0.25">
      <c r="A107" s="28" t="s">
        <v>91</v>
      </c>
      <c r="B107" s="28" t="s">
        <v>131</v>
      </c>
      <c r="C107" s="36">
        <v>3</v>
      </c>
      <c r="D107" s="36"/>
      <c r="E107" s="36" t="s">
        <v>63</v>
      </c>
      <c r="F107" s="30"/>
      <c r="G107" s="78"/>
      <c r="H107" s="79"/>
    </row>
    <row r="108" spans="1:8" s="21" customFormat="1" ht="13.5" thickBot="1" x14ac:dyDescent="0.25">
      <c r="A108" s="31"/>
      <c r="B108" s="31"/>
      <c r="C108" s="32">
        <f>SUM(C105:C107)</f>
        <v>8</v>
      </c>
      <c r="D108" s="32">
        <f>SUM(D105:D107)</f>
        <v>1</v>
      </c>
      <c r="E108" s="33"/>
      <c r="G108"/>
      <c r="H108"/>
    </row>
    <row r="109" spans="1:8" s="21" customFormat="1" x14ac:dyDescent="0.2">
      <c r="A109" s="31"/>
      <c r="B109" s="31"/>
      <c r="C109" s="41"/>
      <c r="D109" s="41"/>
      <c r="E109" s="33"/>
      <c r="G109"/>
      <c r="H109"/>
    </row>
    <row r="110" spans="1:8" ht="18" x14ac:dyDescent="0.25">
      <c r="A110" s="104" t="s">
        <v>28</v>
      </c>
      <c r="B110" s="105"/>
      <c r="C110" s="105"/>
      <c r="D110" s="105"/>
      <c r="E110" s="105"/>
      <c r="F110" s="105"/>
      <c r="G110" s="105"/>
      <c r="H110" s="105"/>
    </row>
    <row r="111" spans="1:8" ht="16.5" thickBot="1" x14ac:dyDescent="0.3">
      <c r="A111" s="93" t="s">
        <v>6</v>
      </c>
      <c r="B111" s="93"/>
      <c r="C111" s="93"/>
      <c r="D111" s="93"/>
      <c r="E111" s="93"/>
      <c r="G111" s="21"/>
      <c r="H111" s="21"/>
    </row>
    <row r="112" spans="1:8" ht="13.5" thickBot="1" x14ac:dyDescent="0.25">
      <c r="A112" s="3" t="s">
        <v>0</v>
      </c>
      <c r="B112" s="97" t="s">
        <v>165</v>
      </c>
      <c r="C112" s="89" t="s">
        <v>4</v>
      </c>
      <c r="D112" s="90"/>
      <c r="E112" s="97" t="s">
        <v>93</v>
      </c>
      <c r="F112" s="97" t="s">
        <v>112</v>
      </c>
      <c r="G112" s="99" t="s">
        <v>163</v>
      </c>
      <c r="H112" s="102" t="s">
        <v>164</v>
      </c>
    </row>
    <row r="113" spans="1:8" ht="13.5" thickBot="1" x14ac:dyDescent="0.25">
      <c r="A113" s="4" t="s">
        <v>1</v>
      </c>
      <c r="B113" s="98"/>
      <c r="C113" s="4" t="s">
        <v>46</v>
      </c>
      <c r="D113" s="4" t="s">
        <v>47</v>
      </c>
      <c r="E113" s="98"/>
      <c r="F113" s="98"/>
      <c r="G113" s="100"/>
      <c r="H113" s="103"/>
    </row>
    <row r="114" spans="1:8" s="21" customFormat="1" x14ac:dyDescent="0.2">
      <c r="A114" s="34" t="s">
        <v>110</v>
      </c>
      <c r="B114" s="34" t="s">
        <v>67</v>
      </c>
      <c r="C114" s="19">
        <v>6</v>
      </c>
      <c r="D114" s="19"/>
      <c r="E114" s="108" t="s">
        <v>151</v>
      </c>
      <c r="F114" s="109"/>
      <c r="G114" s="80"/>
      <c r="H114" s="81"/>
    </row>
    <row r="115" spans="1:8" s="21" customFormat="1" ht="13.5" thickBot="1" x14ac:dyDescent="0.25">
      <c r="A115" s="28" t="s">
        <v>119</v>
      </c>
      <c r="B115" s="28" t="s">
        <v>66</v>
      </c>
      <c r="C115" s="36">
        <v>3</v>
      </c>
      <c r="D115" s="36"/>
      <c r="E115" s="36" t="s">
        <v>89</v>
      </c>
      <c r="F115" s="30"/>
      <c r="G115" s="78"/>
      <c r="H115" s="79"/>
    </row>
    <row r="116" spans="1:8" s="21" customFormat="1" ht="13.5" thickBot="1" x14ac:dyDescent="0.25">
      <c r="A116" s="31"/>
      <c r="B116" s="31"/>
      <c r="C116" s="32">
        <f>SUM(C114:C115)</f>
        <v>9</v>
      </c>
      <c r="D116" s="32">
        <f>SUM(D114:D115)</f>
        <v>0</v>
      </c>
      <c r="E116" s="33"/>
    </row>
    <row r="117" spans="1:8" x14ac:dyDescent="0.2">
      <c r="C117" s="9"/>
      <c r="D117" s="9"/>
      <c r="G117" s="21"/>
      <c r="H117" s="21"/>
    </row>
    <row r="118" spans="1:8" ht="16.5" thickBot="1" x14ac:dyDescent="0.3">
      <c r="A118" s="93" t="s">
        <v>15</v>
      </c>
      <c r="B118" s="93"/>
      <c r="C118" s="93"/>
      <c r="D118" s="93"/>
      <c r="E118" s="93"/>
      <c r="G118" s="21"/>
      <c r="H118" s="21"/>
    </row>
    <row r="119" spans="1:8" ht="13.5" thickBot="1" x14ac:dyDescent="0.25">
      <c r="A119" s="3" t="s">
        <v>0</v>
      </c>
      <c r="B119" s="97" t="s">
        <v>165</v>
      </c>
      <c r="C119" s="89" t="s">
        <v>4</v>
      </c>
      <c r="D119" s="90"/>
      <c r="E119" s="97" t="s">
        <v>93</v>
      </c>
      <c r="F119" s="97" t="s">
        <v>112</v>
      </c>
      <c r="G119" s="99" t="s">
        <v>163</v>
      </c>
      <c r="H119" s="102" t="s">
        <v>164</v>
      </c>
    </row>
    <row r="120" spans="1:8" ht="13.5" thickBot="1" x14ac:dyDescent="0.25">
      <c r="A120" s="59" t="s">
        <v>1</v>
      </c>
      <c r="B120" s="98"/>
      <c r="C120" s="4" t="s">
        <v>46</v>
      </c>
      <c r="D120" s="4" t="s">
        <v>47</v>
      </c>
      <c r="E120" s="98"/>
      <c r="F120" s="98"/>
      <c r="G120" s="100"/>
      <c r="H120" s="103"/>
    </row>
    <row r="121" spans="1:8" s="21" customFormat="1" x14ac:dyDescent="0.2">
      <c r="A121" s="34" t="s">
        <v>132</v>
      </c>
      <c r="B121" s="82" t="s">
        <v>133</v>
      </c>
      <c r="C121" s="19">
        <v>2</v>
      </c>
      <c r="D121" s="19">
        <v>1</v>
      </c>
      <c r="E121" s="19" t="s">
        <v>152</v>
      </c>
      <c r="F121" s="20"/>
      <c r="G121" s="80"/>
      <c r="H121" s="81"/>
    </row>
    <row r="122" spans="1:8" s="21" customFormat="1" x14ac:dyDescent="0.2">
      <c r="A122" s="44" t="s">
        <v>134</v>
      </c>
      <c r="B122" s="44" t="s">
        <v>135</v>
      </c>
      <c r="C122" s="24">
        <v>3</v>
      </c>
      <c r="D122" s="24"/>
      <c r="E122" s="24" t="s">
        <v>152</v>
      </c>
      <c r="F122" s="45"/>
      <c r="G122" s="76"/>
      <c r="H122" s="77"/>
    </row>
    <row r="123" spans="1:8" s="21" customFormat="1" x14ac:dyDescent="0.2">
      <c r="A123" s="44" t="s">
        <v>137</v>
      </c>
      <c r="B123" s="56" t="s">
        <v>64</v>
      </c>
      <c r="C123" s="57">
        <v>3</v>
      </c>
      <c r="D123" s="57"/>
      <c r="E123" s="57" t="s">
        <v>153</v>
      </c>
      <c r="F123" s="58"/>
      <c r="G123" s="76"/>
      <c r="H123" s="77"/>
    </row>
    <row r="124" spans="1:8" s="21" customFormat="1" ht="13.5" thickBot="1" x14ac:dyDescent="0.25">
      <c r="A124" s="28" t="s">
        <v>136</v>
      </c>
      <c r="B124" s="28" t="s">
        <v>118</v>
      </c>
      <c r="C124" s="36">
        <v>2</v>
      </c>
      <c r="D124" s="36">
        <v>1</v>
      </c>
      <c r="E124" s="36" t="s">
        <v>130</v>
      </c>
      <c r="F124" s="30"/>
      <c r="G124" s="78"/>
      <c r="H124" s="79"/>
    </row>
    <row r="125" spans="1:8" s="21" customFormat="1" ht="13.5" thickBot="1" x14ac:dyDescent="0.25">
      <c r="A125" s="31"/>
      <c r="B125" s="31"/>
      <c r="C125" s="32">
        <f>SUM(C121:C124)</f>
        <v>10</v>
      </c>
      <c r="D125" s="32">
        <f>SUM(D121:D124)</f>
        <v>2</v>
      </c>
      <c r="E125" s="33"/>
      <c r="G125"/>
      <c r="H125"/>
    </row>
    <row r="127" spans="1:8" x14ac:dyDescent="0.2">
      <c r="A127" s="70" t="s">
        <v>154</v>
      </c>
    </row>
    <row r="129" spans="1:2" x14ac:dyDescent="0.2">
      <c r="B129" s="2" t="s">
        <v>155</v>
      </c>
    </row>
    <row r="130" spans="1:2" x14ac:dyDescent="0.2">
      <c r="B130" s="2" t="s">
        <v>62</v>
      </c>
    </row>
    <row r="131" spans="1:2" x14ac:dyDescent="0.2">
      <c r="B131" s="2" t="s">
        <v>156</v>
      </c>
    </row>
    <row r="132" spans="1:2" x14ac:dyDescent="0.2">
      <c r="B132" s="2" t="s">
        <v>157</v>
      </c>
    </row>
    <row r="134" spans="1:2" x14ac:dyDescent="0.2">
      <c r="A134" s="70" t="s">
        <v>158</v>
      </c>
    </row>
    <row r="136" spans="1:2" x14ac:dyDescent="0.2">
      <c r="B136" s="2" t="s">
        <v>159</v>
      </c>
    </row>
    <row r="137" spans="1:2" x14ac:dyDescent="0.2">
      <c r="B137" s="2" t="s">
        <v>160</v>
      </c>
    </row>
    <row r="138" spans="1:2" x14ac:dyDescent="0.2">
      <c r="B138" s="2" t="s">
        <v>161</v>
      </c>
    </row>
    <row r="139" spans="1:2" x14ac:dyDescent="0.2">
      <c r="B139" s="2" t="s">
        <v>162</v>
      </c>
    </row>
  </sheetData>
  <mergeCells count="78">
    <mergeCell ref="B119:B120"/>
    <mergeCell ref="E119:E120"/>
    <mergeCell ref="F119:F120"/>
    <mergeCell ref="B103:B104"/>
    <mergeCell ref="E103:E104"/>
    <mergeCell ref="F103:F104"/>
    <mergeCell ref="B112:B113"/>
    <mergeCell ref="E112:E113"/>
    <mergeCell ref="F112:F113"/>
    <mergeCell ref="E114:F114"/>
    <mergeCell ref="F67:F68"/>
    <mergeCell ref="B80:B81"/>
    <mergeCell ref="E80:E81"/>
    <mergeCell ref="F80:F81"/>
    <mergeCell ref="B92:B93"/>
    <mergeCell ref="E92:E93"/>
    <mergeCell ref="F92:F93"/>
    <mergeCell ref="A8:H8"/>
    <mergeCell ref="A5:H5"/>
    <mergeCell ref="A3:H3"/>
    <mergeCell ref="A2:H2"/>
    <mergeCell ref="A1:H1"/>
    <mergeCell ref="E29:E30"/>
    <mergeCell ref="F29:F30"/>
    <mergeCell ref="B29:B30"/>
    <mergeCell ref="H29:H30"/>
    <mergeCell ref="C29:D29"/>
    <mergeCell ref="G119:G120"/>
    <mergeCell ref="H119:H120"/>
    <mergeCell ref="A110:H110"/>
    <mergeCell ref="A78:H78"/>
    <mergeCell ref="A53:H53"/>
    <mergeCell ref="A27:H27"/>
    <mergeCell ref="B41:B42"/>
    <mergeCell ref="E41:E42"/>
    <mergeCell ref="F41:F42"/>
    <mergeCell ref="B55:B56"/>
    <mergeCell ref="G92:G93"/>
    <mergeCell ref="H92:H93"/>
    <mergeCell ref="G103:G104"/>
    <mergeCell ref="H103:H104"/>
    <mergeCell ref="G112:G113"/>
    <mergeCell ref="H112:H113"/>
    <mergeCell ref="H41:H42"/>
    <mergeCell ref="G55:G56"/>
    <mergeCell ref="H55:H56"/>
    <mergeCell ref="G67:G68"/>
    <mergeCell ref="H67:H68"/>
    <mergeCell ref="H80:H81"/>
    <mergeCell ref="A111:E111"/>
    <mergeCell ref="C112:D112"/>
    <mergeCell ref="G29:G30"/>
    <mergeCell ref="G80:G81"/>
    <mergeCell ref="A11:H11"/>
    <mergeCell ref="E55:E56"/>
    <mergeCell ref="F55:F56"/>
    <mergeCell ref="C41:D41"/>
    <mergeCell ref="A54:E54"/>
    <mergeCell ref="G41:G42"/>
    <mergeCell ref="A66:E66"/>
    <mergeCell ref="C55:D55"/>
    <mergeCell ref="C103:D103"/>
    <mergeCell ref="A79:E79"/>
    <mergeCell ref="C80:D80"/>
    <mergeCell ref="B67:B68"/>
    <mergeCell ref="E67:E68"/>
    <mergeCell ref="C67:D67"/>
    <mergeCell ref="A102:E102"/>
    <mergeCell ref="A9:F9"/>
    <mergeCell ref="C119:D119"/>
    <mergeCell ref="C17:D17"/>
    <mergeCell ref="A40:E40"/>
    <mergeCell ref="A6:E6"/>
    <mergeCell ref="A91:E91"/>
    <mergeCell ref="C92:D92"/>
    <mergeCell ref="A15:F15"/>
    <mergeCell ref="A28:E28"/>
    <mergeCell ref="A118:E118"/>
  </mergeCells>
  <printOptions horizontalCentered="1"/>
  <pageMargins left="0.43307086614173229" right="0.43307086614173229" top="0.74803149606299213" bottom="0.74803149606299213" header="0.31496062992125984" footer="0.31496062992125984"/>
  <pageSetup paperSize="10000" scale="80" orientation="portrait" r:id="rId1"/>
  <rowBreaks count="1" manualBreakCount="1">
    <brk id="7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37AA-D6CE-4B46-9AA8-2631947475B1}">
  <sheetPr codeName="Sheet109"/>
  <dimension ref="A1"/>
  <sheetViews>
    <sheetView workbookViewId="0">
      <selection activeCell="J30" sqref="J30"/>
    </sheetView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ABANERA</vt:lpstr>
      <vt:lpstr>Sheet1</vt:lpstr>
      <vt:lpstr>ABANERA!Print_Area</vt:lpstr>
    </vt:vector>
  </TitlesOfParts>
  <Company>MiKiCuN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MiKiCuN</dc:creator>
  <cp:lastModifiedBy>Archelle Agdon</cp:lastModifiedBy>
  <cp:lastPrinted>2024-08-05T02:47:23Z</cp:lastPrinted>
  <dcterms:created xsi:type="dcterms:W3CDTF">2009-08-21T12:46:06Z</dcterms:created>
  <dcterms:modified xsi:type="dcterms:W3CDTF">2025-10-26T05:41:46Z</dcterms:modified>
</cp:coreProperties>
</file>