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mapa\Downloads\"/>
    </mc:Choice>
  </mc:AlternateContent>
  <xr:revisionPtr revIDLastSave="0" documentId="13_ncr:1_{B25A079D-629C-4E80-A922-FA1671BD7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VAREZ" sheetId="2" r:id="rId1"/>
    <sheet name="Sheet1" sheetId="1" r:id="rId2"/>
  </sheets>
  <definedNames>
    <definedName name="_xlnm.Print_Area" localSheetId="0">ALVAREZ!$A$1:$G$105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C37" i="2"/>
  <c r="C49" i="2"/>
  <c r="C62" i="2"/>
  <c r="C72" i="2"/>
  <c r="C82" i="2"/>
  <c r="C90" i="2"/>
  <c r="C100" i="2"/>
  <c r="C105" i="2"/>
</calcChain>
</file>

<file path=xl/sharedStrings.xml><?xml version="1.0" encoding="utf-8"?>
<sst xmlns="http://schemas.openxmlformats.org/spreadsheetml/2006/main" count="265" uniqueCount="142">
  <si>
    <t>ENC413</t>
  </si>
  <si>
    <t>Business Plan Implementation 2</t>
  </si>
  <si>
    <t>ENC415</t>
  </si>
  <si>
    <t>Co- Requisite</t>
  </si>
  <si>
    <t>Description</t>
  </si>
  <si>
    <t>Code</t>
  </si>
  <si>
    <t>Pre-Requisite</t>
  </si>
  <si>
    <t>Units</t>
  </si>
  <si>
    <t xml:space="preserve">Course </t>
  </si>
  <si>
    <t>Course</t>
  </si>
  <si>
    <t>Second Semester</t>
  </si>
  <si>
    <t>4TH YR STNDG</t>
  </si>
  <si>
    <t>Elective 4- Managing a Service Enterprise</t>
  </si>
  <si>
    <t>ENE404</t>
  </si>
  <si>
    <t>ENS303</t>
  </si>
  <si>
    <t>Tourism Business 4</t>
  </si>
  <si>
    <t>ENS404</t>
  </si>
  <si>
    <t>Programs and Policies on Enterprise Development</t>
  </si>
  <si>
    <t>ENC414</t>
  </si>
  <si>
    <t>ENC311</t>
  </si>
  <si>
    <t>Business Plan Implementation1</t>
  </si>
  <si>
    <t>First Semester</t>
  </si>
  <si>
    <t>Fourth Year</t>
  </si>
  <si>
    <t>88/1.75</t>
  </si>
  <si>
    <t>ENS302</t>
  </si>
  <si>
    <t>Tourism Business 3</t>
  </si>
  <si>
    <t>81/2.50</t>
  </si>
  <si>
    <t>3RD YR STNDG</t>
  </si>
  <si>
    <t>Elective 3- E- Commerce</t>
  </si>
  <si>
    <t>ENE303</t>
  </si>
  <si>
    <t>80/2.50</t>
  </si>
  <si>
    <t>ENC310</t>
  </si>
  <si>
    <t>International Business and Trade</t>
  </si>
  <si>
    <t>ENC312</t>
  </si>
  <si>
    <t>ENC309</t>
  </si>
  <si>
    <t>Business Plan Preparation</t>
  </si>
  <si>
    <t xml:space="preserve">Second Semester </t>
  </si>
  <si>
    <t>92/1.50</t>
  </si>
  <si>
    <t>ENS201</t>
  </si>
  <si>
    <t>Tourism Business 2</t>
  </si>
  <si>
    <t>90/1.75</t>
  </si>
  <si>
    <t>Elective 2- Wholesale and Retail Sales Management</t>
  </si>
  <si>
    <t>ENE302</t>
  </si>
  <si>
    <t>ENC205</t>
  </si>
  <si>
    <t>Social Entrepreneurship</t>
  </si>
  <si>
    <t>86/2.00</t>
  </si>
  <si>
    <t>ENC208</t>
  </si>
  <si>
    <t>Financial Management</t>
  </si>
  <si>
    <t>ENC309/ AC318</t>
  </si>
  <si>
    <t>Third Year</t>
  </si>
  <si>
    <t>95/1.25</t>
  </si>
  <si>
    <t>PED203</t>
  </si>
  <si>
    <t>Physical Education 4</t>
  </si>
  <si>
    <t>PED204</t>
  </si>
  <si>
    <t>87/2.00</t>
  </si>
  <si>
    <t>2nd Year Standing</t>
  </si>
  <si>
    <t>Strategic Management</t>
  </si>
  <si>
    <t>CBM202</t>
  </si>
  <si>
    <t>82/2.25</t>
  </si>
  <si>
    <t>2ND YR STNDG</t>
  </si>
  <si>
    <t>Tourism Business 1</t>
  </si>
  <si>
    <t>97/1.25</t>
  </si>
  <si>
    <t>Elective 1- Franchising</t>
  </si>
  <si>
    <t>ENE201</t>
  </si>
  <si>
    <t>84/2.25</t>
  </si>
  <si>
    <t>CBM201</t>
  </si>
  <si>
    <t>Pricing and Costing</t>
  </si>
  <si>
    <t>78/2.75</t>
  </si>
  <si>
    <t>Business Law and Taxation</t>
  </si>
  <si>
    <t>ENC207</t>
  </si>
  <si>
    <t>96/1.25</t>
  </si>
  <si>
    <t>PED102</t>
  </si>
  <si>
    <t>Physical Education 3</t>
  </si>
  <si>
    <t>ENC104</t>
  </si>
  <si>
    <t>Production and Operations Management</t>
  </si>
  <si>
    <t>94/1.50</t>
  </si>
  <si>
    <t>ENC103</t>
  </si>
  <si>
    <t>Innovation Management</t>
  </si>
  <si>
    <t>ENC206</t>
  </si>
  <si>
    <t>98/1.00</t>
  </si>
  <si>
    <t>Market Research and Consumer Behavior</t>
  </si>
  <si>
    <t>NONE</t>
  </si>
  <si>
    <t>GE Elective 3- Living in the IT Era</t>
  </si>
  <si>
    <t>GEE203</t>
  </si>
  <si>
    <t>Rizal's Life and Works</t>
  </si>
  <si>
    <t>GE209</t>
  </si>
  <si>
    <t>Science, Technology, and Society</t>
  </si>
  <si>
    <t>GE208</t>
  </si>
  <si>
    <t>Second Year</t>
  </si>
  <si>
    <t>PED101</t>
  </si>
  <si>
    <t>Physical Education 2</t>
  </si>
  <si>
    <t>NSTP11</t>
  </si>
  <si>
    <t>National Service Training Program 2</t>
  </si>
  <si>
    <t>NSTP12</t>
  </si>
  <si>
    <t>89/1.75</t>
  </si>
  <si>
    <t>ENC101</t>
  </si>
  <si>
    <t>Human Resource Management</t>
  </si>
  <si>
    <t>Opportunity Seeking</t>
  </si>
  <si>
    <t>GE Elective 2- Philippine Popular Culture</t>
  </si>
  <si>
    <t>GEE102</t>
  </si>
  <si>
    <t>Ethics</t>
  </si>
  <si>
    <t>GE107</t>
  </si>
  <si>
    <t>93/1.50</t>
  </si>
  <si>
    <t>Purposive Communication</t>
  </si>
  <si>
    <t>GE106</t>
  </si>
  <si>
    <t>GE101</t>
  </si>
  <si>
    <t>Art Appreciation</t>
  </si>
  <si>
    <t>GE105</t>
  </si>
  <si>
    <t>Physical Education 1</t>
  </si>
  <si>
    <t>National Service Training Program 1</t>
  </si>
  <si>
    <t>Microeconomics</t>
  </si>
  <si>
    <t>ENC102</t>
  </si>
  <si>
    <t>Entrepreneurial Behavior</t>
  </si>
  <si>
    <t>85/2.00</t>
  </si>
  <si>
    <t>GE Elective 1- The Entrepreneurial Mind</t>
  </si>
  <si>
    <t>GEE101</t>
  </si>
  <si>
    <t>Mathematics in the Modern World</t>
  </si>
  <si>
    <t>GE104</t>
  </si>
  <si>
    <t>The Contemporary World</t>
  </si>
  <si>
    <t>GE103</t>
  </si>
  <si>
    <t>Readings in Philippine History</t>
  </si>
  <si>
    <t>GE102</t>
  </si>
  <si>
    <t>Understanding the Self</t>
  </si>
  <si>
    <t>First Year</t>
  </si>
  <si>
    <t>Technology as a Tool of the Trade</t>
  </si>
  <si>
    <t>BRP105</t>
  </si>
  <si>
    <t>Global and Local Connections</t>
  </si>
  <si>
    <t>BRP104</t>
  </si>
  <si>
    <t>Composition and Technical Writing</t>
  </si>
  <si>
    <t>BRP103</t>
  </si>
  <si>
    <t>Speech Communication</t>
  </si>
  <si>
    <t>BRP102</t>
  </si>
  <si>
    <t>Critical Thinking</t>
  </si>
  <si>
    <t>BRP101</t>
  </si>
  <si>
    <t>Bridging Program</t>
  </si>
  <si>
    <t>2018 CURRICULUM</t>
  </si>
  <si>
    <t>BACHELOR OF SCIENCE IN ENTREPRENEURSHIP</t>
  </si>
  <si>
    <t>No. 18 Series of 2017</t>
  </si>
  <si>
    <t>CHED Memorandum Order</t>
  </si>
  <si>
    <t>Businessand Accountancy Department</t>
  </si>
  <si>
    <t>Phase 1A Pacita Complex 1, San Pedro, Laguna</t>
  </si>
  <si>
    <t>Colegio de San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</si>
</sst>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9.5"/>
      <color rgb="FF22222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0" xfId="1" applyFont="1"/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3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3" xfId="1" applyFont="1" applyBorder="1"/>
    <xf numFmtId="0" fontId="4" fillId="0" borderId="4" xfId="1" applyFont="1" applyBorder="1" applyAlignment="1">
      <alignment horizontal="center"/>
    </xf>
    <xf numFmtId="0" fontId="4" fillId="0" borderId="4" xfId="1" applyFont="1" applyBorder="1"/>
    <xf numFmtId="0" fontId="1" fillId="0" borderId="0" xfId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 wrapText="1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horizontal="center"/>
    </xf>
    <xf numFmtId="0" fontId="4" fillId="0" borderId="6" xfId="1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4" fillId="0" borderId="12" xfId="1" applyFont="1" applyBorder="1"/>
    <xf numFmtId="0" fontId="4" fillId="0" borderId="3" xfId="1" applyFont="1" applyBorder="1"/>
    <xf numFmtId="0" fontId="6" fillId="0" borderId="4" xfId="1" applyFont="1" applyBorder="1" applyAlignment="1">
      <alignment horizontal="center"/>
    </xf>
    <xf numFmtId="0" fontId="6" fillId="0" borderId="13" xfId="1" applyFont="1" applyBorder="1"/>
    <xf numFmtId="0" fontId="6" fillId="0" borderId="4" xfId="1" applyFont="1" applyBorder="1"/>
    <xf numFmtId="0" fontId="4" fillId="0" borderId="13" xfId="1" applyFont="1" applyBorder="1"/>
    <xf numFmtId="0" fontId="4" fillId="0" borderId="14" xfId="1" applyFont="1" applyBorder="1"/>
    <xf numFmtId="0" fontId="3" fillId="0" borderId="15" xfId="1" applyFont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4" fillId="0" borderId="13" xfId="1" applyFont="1" applyBorder="1" applyAlignment="1">
      <alignment horizontal="left" vertical="center" wrapText="1"/>
    </xf>
    <xf numFmtId="0" fontId="4" fillId="0" borderId="4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6" xfId="1" applyFont="1" applyBorder="1" applyAlignment="1">
      <alignment vertical="center" wrapText="1"/>
    </xf>
    <xf numFmtId="0" fontId="3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6" fillId="0" borderId="6" xfId="1" applyFont="1" applyBorder="1"/>
    <xf numFmtId="0" fontId="6" fillId="0" borderId="20" xfId="1" applyFont="1" applyBorder="1"/>
    <xf numFmtId="0" fontId="6" fillId="0" borderId="21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6" fillId="0" borderId="22" xfId="1" applyFont="1" applyBorder="1"/>
    <xf numFmtId="0" fontId="6" fillId="0" borderId="5" xfId="1" applyFont="1" applyBorder="1"/>
    <xf numFmtId="0" fontId="6" fillId="0" borderId="14" xfId="1" applyFont="1" applyBorder="1"/>
    <xf numFmtId="0" fontId="6" fillId="0" borderId="3" xfId="1" applyFont="1" applyBorder="1" applyAlignment="1">
      <alignment horizontal="center"/>
    </xf>
    <xf numFmtId="0" fontId="6" fillId="0" borderId="23" xfId="1" applyFont="1" applyBorder="1"/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24" xfId="1" applyFont="1" applyBorder="1" applyAlignment="1">
      <alignment horizontal="center"/>
    </xf>
    <xf numFmtId="0" fontId="9" fillId="0" borderId="3" xfId="1" applyFont="1" applyBorder="1" applyAlignment="1">
      <alignment vertical="center"/>
    </xf>
    <xf numFmtId="0" fontId="6" fillId="0" borderId="1" xfId="1" applyFont="1" applyBorder="1"/>
    <xf numFmtId="0" fontId="6" fillId="0" borderId="25" xfId="1" applyFont="1" applyBorder="1" applyAlignment="1">
      <alignment horizontal="center"/>
    </xf>
    <xf numFmtId="0" fontId="9" fillId="0" borderId="4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6" fillId="0" borderId="26" xfId="1" quotePrefix="1" applyFont="1" applyBorder="1" applyAlignment="1">
      <alignment horizontal="center"/>
    </xf>
    <xf numFmtId="0" fontId="2" fillId="0" borderId="6" xfId="1" applyFont="1" applyBorder="1" applyAlignment="1">
      <alignment vertical="center"/>
    </xf>
    <xf numFmtId="0" fontId="3" fillId="0" borderId="2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7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11" fillId="0" borderId="0" xfId="1" applyFont="1" applyAlignment="1">
      <alignment horizontal="center"/>
    </xf>
    <xf numFmtId="0" fontId="5" fillId="0" borderId="9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8" fillId="0" borderId="9" xfId="1" applyFont="1" applyBorder="1" applyAlignment="1">
      <alignment horizontal="left"/>
    </xf>
    <xf numFmtId="0" fontId="7" fillId="2" borderId="11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/>
    </xf>
    <xf numFmtId="0" fontId="10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0</xdr:row>
      <xdr:rowOff>28575</xdr:rowOff>
    </xdr:from>
    <xdr:to>
      <xdr:col>1</xdr:col>
      <xdr:colOff>1333500</xdr:colOff>
      <xdr:row>4</xdr:row>
      <xdr:rowOff>85725</xdr:rowOff>
    </xdr:to>
    <xdr:pic>
      <xdr:nvPicPr>
        <xdr:cNvPr id="2" name="Picture 2" descr="colegio de san pedr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28575"/>
          <a:ext cx="1428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108"/>
  <sheetViews>
    <sheetView tabSelected="1" view="pageBreakPreview" topLeftCell="A2" zoomScale="75" zoomScaleNormal="100" zoomScaleSheetLayoutView="75" workbookViewId="0">
      <selection activeCell="A25" sqref="A25:D25"/>
    </sheetView>
  </sheetViews>
  <sheetFormatPr defaultRowHeight="12.75" x14ac:dyDescent="0.2"/>
  <cols>
    <col min="1" max="1" width="10.140625" style="1" customWidth="1"/>
    <col min="2" max="2" width="62.28515625" style="1" customWidth="1"/>
    <col min="3" max="3" width="9.28515625" style="1" customWidth="1"/>
    <col min="4" max="4" width="26" style="1" customWidth="1"/>
    <col min="5" max="16384" width="9.140625" style="1"/>
  </cols>
  <sheetData>
    <row r="1" spans="1:4" ht="18" x14ac:dyDescent="0.25">
      <c r="A1" s="75" t="s">
        <v>141</v>
      </c>
      <c r="B1" s="75"/>
      <c r="C1" s="75"/>
      <c r="D1" s="75"/>
    </row>
    <row r="2" spans="1:4" x14ac:dyDescent="0.2">
      <c r="A2" s="76" t="s">
        <v>140</v>
      </c>
      <c r="B2" s="76"/>
      <c r="C2" s="76"/>
      <c r="D2" s="76"/>
    </row>
    <row r="3" spans="1:4" ht="15" x14ac:dyDescent="0.25">
      <c r="A3" s="77" t="s">
        <v>139</v>
      </c>
      <c r="B3" s="77"/>
      <c r="C3" s="77"/>
      <c r="D3" s="77"/>
    </row>
    <row r="4" spans="1:4" x14ac:dyDescent="0.2">
      <c r="A4" s="4"/>
      <c r="B4" s="4"/>
      <c r="C4" s="4"/>
      <c r="D4" s="2"/>
    </row>
    <row r="5" spans="1:4" x14ac:dyDescent="0.2">
      <c r="A5" s="76" t="s">
        <v>138</v>
      </c>
      <c r="B5" s="76"/>
      <c r="C5" s="76"/>
      <c r="D5" s="76"/>
    </row>
    <row r="6" spans="1:4" x14ac:dyDescent="0.2">
      <c r="A6" s="76" t="s">
        <v>137</v>
      </c>
      <c r="B6" s="76"/>
      <c r="C6" s="76"/>
      <c r="D6" s="76"/>
    </row>
    <row r="7" spans="1:4" x14ac:dyDescent="0.2">
      <c r="A7" s="2"/>
      <c r="B7" s="2"/>
      <c r="C7" s="2"/>
      <c r="D7" s="2"/>
    </row>
    <row r="8" spans="1:4" x14ac:dyDescent="0.2">
      <c r="A8" s="76" t="s">
        <v>136</v>
      </c>
      <c r="B8" s="76"/>
      <c r="C8" s="76"/>
      <c r="D8" s="76"/>
    </row>
    <row r="9" spans="1:4" x14ac:dyDescent="0.2">
      <c r="A9" s="74" t="s">
        <v>135</v>
      </c>
      <c r="B9" s="74"/>
      <c r="C9" s="74"/>
      <c r="D9" s="74"/>
    </row>
    <row r="10" spans="1:4" x14ac:dyDescent="0.2">
      <c r="A10" s="66"/>
      <c r="B10" s="66"/>
      <c r="C10" s="66"/>
      <c r="D10" s="66"/>
    </row>
    <row r="11" spans="1:4" x14ac:dyDescent="0.2">
      <c r="A11" s="68"/>
      <c r="B11" s="67"/>
      <c r="C11" s="66"/>
      <c r="D11" s="66"/>
    </row>
    <row r="12" spans="1:4" ht="13.5" thickBot="1" x14ac:dyDescent="0.25">
      <c r="A12" s="66"/>
      <c r="B12" s="66"/>
      <c r="C12" s="66"/>
      <c r="D12" s="66"/>
    </row>
    <row r="13" spans="1:4" ht="18.75" thickBot="1" x14ac:dyDescent="0.3">
      <c r="A13" s="72" t="s">
        <v>134</v>
      </c>
      <c r="B13" s="73"/>
      <c r="C13" s="73"/>
      <c r="D13" s="73"/>
    </row>
    <row r="14" spans="1:4" ht="18.75" thickBot="1" x14ac:dyDescent="0.3">
      <c r="A14" s="65"/>
      <c r="B14" s="64"/>
      <c r="C14" s="64"/>
      <c r="D14" s="64"/>
    </row>
    <row r="15" spans="1:4" x14ac:dyDescent="0.2">
      <c r="A15" s="7" t="s">
        <v>9</v>
      </c>
      <c r="B15" s="7" t="s">
        <v>8</v>
      </c>
      <c r="C15" s="7" t="s">
        <v>7</v>
      </c>
      <c r="D15" s="19" t="s">
        <v>6</v>
      </c>
    </row>
    <row r="16" spans="1:4" ht="13.5" thickBot="1" x14ac:dyDescent="0.25">
      <c r="A16" s="3" t="s">
        <v>5</v>
      </c>
      <c r="B16" s="63" t="s">
        <v>4</v>
      </c>
      <c r="C16" s="3"/>
      <c r="D16" s="18" t="s">
        <v>3</v>
      </c>
    </row>
    <row r="17" spans="1:5" x14ac:dyDescent="0.2">
      <c r="A17" s="39" t="s">
        <v>133</v>
      </c>
      <c r="B17" s="62" t="s">
        <v>132</v>
      </c>
      <c r="C17" s="61">
        <v>3</v>
      </c>
      <c r="D17" s="49" t="s">
        <v>81</v>
      </c>
    </row>
    <row r="18" spans="1:5" x14ac:dyDescent="0.2">
      <c r="A18" s="44" t="s">
        <v>131</v>
      </c>
      <c r="B18" s="60" t="s">
        <v>130</v>
      </c>
      <c r="C18" s="58">
        <v>3</v>
      </c>
      <c r="D18" s="48" t="s">
        <v>81</v>
      </c>
    </row>
    <row r="19" spans="1:5" x14ac:dyDescent="0.2">
      <c r="A19" s="44" t="s">
        <v>129</v>
      </c>
      <c r="B19" s="60" t="s">
        <v>128</v>
      </c>
      <c r="C19" s="58">
        <v>3</v>
      </c>
      <c r="D19" s="48" t="s">
        <v>81</v>
      </c>
    </row>
    <row r="20" spans="1:5" x14ac:dyDescent="0.2">
      <c r="A20" s="44" t="s">
        <v>127</v>
      </c>
      <c r="B20" s="59" t="s">
        <v>126</v>
      </c>
      <c r="C20" s="58">
        <v>3</v>
      </c>
      <c r="D20" s="48" t="s">
        <v>81</v>
      </c>
    </row>
    <row r="21" spans="1:5" ht="13.5" thickBot="1" x14ac:dyDescent="0.25">
      <c r="A21" s="57" t="s">
        <v>125</v>
      </c>
      <c r="B21" s="56" t="s">
        <v>124</v>
      </c>
      <c r="C21" s="55">
        <v>3</v>
      </c>
      <c r="D21" s="54" t="s">
        <v>81</v>
      </c>
    </row>
    <row r="22" spans="1:5" ht="13.5" thickBot="1" x14ac:dyDescent="0.25">
      <c r="A22" s="4"/>
      <c r="B22" s="4"/>
      <c r="C22" s="3">
        <f>SUM(C17:C21)</f>
        <v>15</v>
      </c>
      <c r="D22" s="2"/>
    </row>
    <row r="23" spans="1:5" ht="13.5" thickBot="1" x14ac:dyDescent="0.25">
      <c r="A23" s="4"/>
      <c r="B23" s="4"/>
      <c r="C23" s="4"/>
      <c r="D23" s="2"/>
    </row>
    <row r="24" spans="1:5" ht="18.75" thickBot="1" x14ac:dyDescent="0.3">
      <c r="A24" s="72" t="s">
        <v>123</v>
      </c>
      <c r="B24" s="73"/>
      <c r="C24" s="73"/>
      <c r="D24" s="73"/>
    </row>
    <row r="25" spans="1:5" ht="15.75" thickBot="1" x14ac:dyDescent="0.3">
      <c r="A25" s="71" t="s">
        <v>21</v>
      </c>
      <c r="B25" s="71"/>
      <c r="C25" s="71"/>
      <c r="D25" s="71"/>
    </row>
    <row r="26" spans="1:5" x14ac:dyDescent="0.2">
      <c r="A26" s="7" t="s">
        <v>9</v>
      </c>
      <c r="B26" s="19" t="s">
        <v>8</v>
      </c>
      <c r="C26" s="7" t="s">
        <v>7</v>
      </c>
      <c r="D26" s="19" t="s">
        <v>6</v>
      </c>
    </row>
    <row r="27" spans="1:5" ht="13.5" thickBot="1" x14ac:dyDescent="0.25">
      <c r="A27" s="3" t="s">
        <v>5</v>
      </c>
      <c r="B27" s="27" t="s">
        <v>4</v>
      </c>
      <c r="C27" s="3"/>
      <c r="D27" s="18" t="s">
        <v>3</v>
      </c>
    </row>
    <row r="28" spans="1:5" x14ac:dyDescent="0.2">
      <c r="A28" s="39" t="s">
        <v>105</v>
      </c>
      <c r="B28" s="45" t="s">
        <v>122</v>
      </c>
      <c r="C28" s="53">
        <v>3</v>
      </c>
      <c r="D28" s="53" t="s">
        <v>81</v>
      </c>
      <c r="E28" s="1" t="s">
        <v>37</v>
      </c>
    </row>
    <row r="29" spans="1:5" x14ac:dyDescent="0.2">
      <c r="A29" s="44" t="s">
        <v>121</v>
      </c>
      <c r="B29" s="43" t="s">
        <v>120</v>
      </c>
      <c r="C29" s="52">
        <v>3</v>
      </c>
      <c r="D29" s="52" t="s">
        <v>81</v>
      </c>
      <c r="E29" s="1" t="s">
        <v>37</v>
      </c>
    </row>
    <row r="30" spans="1:5" x14ac:dyDescent="0.2">
      <c r="A30" s="44" t="s">
        <v>119</v>
      </c>
      <c r="B30" s="43" t="s">
        <v>118</v>
      </c>
      <c r="C30" s="52">
        <v>3</v>
      </c>
      <c r="D30" s="52" t="s">
        <v>81</v>
      </c>
      <c r="E30" s="1" t="s">
        <v>75</v>
      </c>
    </row>
    <row r="31" spans="1:5" x14ac:dyDescent="0.2">
      <c r="A31" s="44" t="s">
        <v>117</v>
      </c>
      <c r="B31" s="43" t="s">
        <v>116</v>
      </c>
      <c r="C31" s="52">
        <v>3</v>
      </c>
      <c r="D31" s="52" t="s">
        <v>81</v>
      </c>
      <c r="E31" s="1" t="s">
        <v>40</v>
      </c>
    </row>
    <row r="32" spans="1:5" x14ac:dyDescent="0.2">
      <c r="A32" s="44" t="s">
        <v>115</v>
      </c>
      <c r="B32" s="43" t="s">
        <v>114</v>
      </c>
      <c r="C32" s="52">
        <v>3</v>
      </c>
      <c r="D32" s="52" t="s">
        <v>81</v>
      </c>
      <c r="E32" s="1" t="s">
        <v>113</v>
      </c>
    </row>
    <row r="33" spans="1:5" x14ac:dyDescent="0.2">
      <c r="A33" s="44" t="s">
        <v>95</v>
      </c>
      <c r="B33" s="43" t="s">
        <v>112</v>
      </c>
      <c r="C33" s="52">
        <v>3</v>
      </c>
      <c r="D33" s="52" t="s">
        <v>81</v>
      </c>
      <c r="E33" s="1" t="s">
        <v>64</v>
      </c>
    </row>
    <row r="34" spans="1:5" x14ac:dyDescent="0.2">
      <c r="A34" s="24" t="s">
        <v>111</v>
      </c>
      <c r="B34" s="23" t="s">
        <v>110</v>
      </c>
      <c r="C34" s="51">
        <v>3</v>
      </c>
      <c r="D34" s="51" t="s">
        <v>81</v>
      </c>
      <c r="E34" s="1" t="s">
        <v>75</v>
      </c>
    </row>
    <row r="35" spans="1:5" x14ac:dyDescent="0.2">
      <c r="A35" s="11" t="s">
        <v>91</v>
      </c>
      <c r="B35" s="40" t="s">
        <v>109</v>
      </c>
      <c r="C35" s="22">
        <v>3</v>
      </c>
      <c r="D35" s="51" t="s">
        <v>81</v>
      </c>
      <c r="E35" s="1" t="s">
        <v>54</v>
      </c>
    </row>
    <row r="36" spans="1:5" ht="13.5" thickBot="1" x14ac:dyDescent="0.25">
      <c r="A36" s="9" t="s">
        <v>89</v>
      </c>
      <c r="B36" s="47" t="s">
        <v>108</v>
      </c>
      <c r="C36" s="50">
        <v>2</v>
      </c>
      <c r="D36" s="50" t="s">
        <v>81</v>
      </c>
      <c r="E36" s="1" t="s">
        <v>102</v>
      </c>
    </row>
    <row r="37" spans="1:5" ht="13.5" thickBot="1" x14ac:dyDescent="0.25">
      <c r="A37" s="4"/>
      <c r="B37" s="4"/>
      <c r="C37" s="3">
        <f>SUM(C28:C36)</f>
        <v>26</v>
      </c>
      <c r="D37" s="2"/>
    </row>
    <row r="38" spans="1:5" ht="15.75" thickBot="1" x14ac:dyDescent="0.3">
      <c r="A38" s="71" t="s">
        <v>36</v>
      </c>
      <c r="B38" s="71"/>
      <c r="C38" s="71"/>
      <c r="D38" s="71"/>
    </row>
    <row r="39" spans="1:5" x14ac:dyDescent="0.2">
      <c r="A39" s="7" t="s">
        <v>9</v>
      </c>
      <c r="B39" s="19" t="s">
        <v>8</v>
      </c>
      <c r="C39" s="7" t="s">
        <v>7</v>
      </c>
      <c r="D39" s="19" t="s">
        <v>6</v>
      </c>
    </row>
    <row r="40" spans="1:5" ht="13.5" thickBot="1" x14ac:dyDescent="0.25">
      <c r="A40" s="3" t="s">
        <v>5</v>
      </c>
      <c r="B40" s="27" t="s">
        <v>4</v>
      </c>
      <c r="C40" s="3"/>
      <c r="D40" s="18" t="s">
        <v>3</v>
      </c>
    </row>
    <row r="41" spans="1:5" x14ac:dyDescent="0.2">
      <c r="A41" s="39" t="s">
        <v>107</v>
      </c>
      <c r="B41" s="45" t="s">
        <v>106</v>
      </c>
      <c r="C41" s="49">
        <v>3</v>
      </c>
      <c r="D41" s="49" t="s">
        <v>105</v>
      </c>
      <c r="E41" s="1" t="s">
        <v>45</v>
      </c>
    </row>
    <row r="42" spans="1:5" x14ac:dyDescent="0.2">
      <c r="A42" s="44" t="s">
        <v>104</v>
      </c>
      <c r="B42" s="43" t="s">
        <v>103</v>
      </c>
      <c r="C42" s="48">
        <v>3</v>
      </c>
      <c r="D42" s="48" t="s">
        <v>81</v>
      </c>
      <c r="E42" s="1" t="s">
        <v>102</v>
      </c>
    </row>
    <row r="43" spans="1:5" x14ac:dyDescent="0.2">
      <c r="A43" s="44" t="s">
        <v>101</v>
      </c>
      <c r="B43" s="43" t="s">
        <v>100</v>
      </c>
      <c r="C43" s="48">
        <v>3</v>
      </c>
      <c r="D43" s="48" t="s">
        <v>81</v>
      </c>
      <c r="E43" s="1" t="s">
        <v>40</v>
      </c>
    </row>
    <row r="44" spans="1:5" x14ac:dyDescent="0.2">
      <c r="A44" s="44" t="s">
        <v>99</v>
      </c>
      <c r="B44" s="43" t="s">
        <v>98</v>
      </c>
      <c r="C44" s="48">
        <v>3</v>
      </c>
      <c r="D44" s="48" t="s">
        <v>81</v>
      </c>
      <c r="E44" s="1" t="s">
        <v>40</v>
      </c>
    </row>
    <row r="45" spans="1:5" x14ac:dyDescent="0.2">
      <c r="A45" s="44" t="s">
        <v>76</v>
      </c>
      <c r="B45" s="43" t="s">
        <v>97</v>
      </c>
      <c r="C45" s="48">
        <v>3</v>
      </c>
      <c r="D45" s="48" t="s">
        <v>95</v>
      </c>
      <c r="E45" s="1" t="s">
        <v>45</v>
      </c>
    </row>
    <row r="46" spans="1:5" x14ac:dyDescent="0.2">
      <c r="A46" s="24" t="s">
        <v>73</v>
      </c>
      <c r="B46" s="23" t="s">
        <v>96</v>
      </c>
      <c r="C46" s="22">
        <v>3</v>
      </c>
      <c r="D46" s="22" t="s">
        <v>95</v>
      </c>
      <c r="E46" s="1" t="s">
        <v>94</v>
      </c>
    </row>
    <row r="47" spans="1:5" x14ac:dyDescent="0.2">
      <c r="A47" s="24" t="s">
        <v>93</v>
      </c>
      <c r="B47" s="40" t="s">
        <v>92</v>
      </c>
      <c r="C47" s="22">
        <v>3</v>
      </c>
      <c r="D47" s="22" t="s">
        <v>91</v>
      </c>
      <c r="E47" s="1" t="s">
        <v>40</v>
      </c>
    </row>
    <row r="48" spans="1:5" ht="13.5" thickBot="1" x14ac:dyDescent="0.25">
      <c r="A48" s="9" t="s">
        <v>71</v>
      </c>
      <c r="B48" s="47" t="s">
        <v>90</v>
      </c>
      <c r="C48" s="46">
        <v>2</v>
      </c>
      <c r="D48" s="46" t="s">
        <v>89</v>
      </c>
      <c r="E48" s="1" t="s">
        <v>75</v>
      </c>
    </row>
    <row r="49" spans="1:5" ht="13.5" thickBot="1" x14ac:dyDescent="0.25">
      <c r="A49" s="4"/>
      <c r="B49" s="4"/>
      <c r="C49" s="3">
        <f>SUM(C41:C48)</f>
        <v>23</v>
      </c>
      <c r="D49" s="2"/>
    </row>
    <row r="50" spans="1:5" ht="13.5" thickBot="1" x14ac:dyDescent="0.25">
      <c r="A50" s="4"/>
      <c r="B50" s="4"/>
      <c r="C50" s="4"/>
      <c r="D50" s="2"/>
    </row>
    <row r="51" spans="1:5" ht="18.75" thickBot="1" x14ac:dyDescent="0.3">
      <c r="A51" s="72" t="s">
        <v>88</v>
      </c>
      <c r="B51" s="73"/>
      <c r="C51" s="73"/>
      <c r="D51" s="73"/>
    </row>
    <row r="52" spans="1:5" ht="15.75" thickBot="1" x14ac:dyDescent="0.3">
      <c r="A52" s="71" t="s">
        <v>21</v>
      </c>
      <c r="B52" s="71"/>
      <c r="C52" s="71"/>
      <c r="D52" s="71"/>
    </row>
    <row r="53" spans="1:5" x14ac:dyDescent="0.2">
      <c r="A53" s="7" t="s">
        <v>9</v>
      </c>
      <c r="B53" s="19" t="s">
        <v>8</v>
      </c>
      <c r="C53" s="7" t="s">
        <v>7</v>
      </c>
      <c r="D53" s="19" t="s">
        <v>6</v>
      </c>
    </row>
    <row r="54" spans="1:5" ht="13.5" thickBot="1" x14ac:dyDescent="0.25">
      <c r="A54" s="3" t="s">
        <v>5</v>
      </c>
      <c r="B54" s="27" t="s">
        <v>4</v>
      </c>
      <c r="C54" s="3"/>
      <c r="D54" s="18" t="s">
        <v>3</v>
      </c>
    </row>
    <row r="55" spans="1:5" x14ac:dyDescent="0.2">
      <c r="A55" s="39" t="s">
        <v>87</v>
      </c>
      <c r="B55" s="45" t="s">
        <v>86</v>
      </c>
      <c r="C55" s="16">
        <v>3</v>
      </c>
      <c r="D55" s="38" t="s">
        <v>81</v>
      </c>
      <c r="E55" s="1" t="s">
        <v>75</v>
      </c>
    </row>
    <row r="56" spans="1:5" x14ac:dyDescent="0.2">
      <c r="A56" s="44" t="s">
        <v>85</v>
      </c>
      <c r="B56" s="43" t="s">
        <v>84</v>
      </c>
      <c r="C56" s="42">
        <v>3</v>
      </c>
      <c r="D56" s="41" t="s">
        <v>81</v>
      </c>
      <c r="E56" s="1" t="s">
        <v>50</v>
      </c>
    </row>
    <row r="57" spans="1:5" x14ac:dyDescent="0.2">
      <c r="A57" s="44" t="s">
        <v>83</v>
      </c>
      <c r="B57" s="43" t="s">
        <v>82</v>
      </c>
      <c r="C57" s="42">
        <v>3</v>
      </c>
      <c r="D57" s="41" t="s">
        <v>81</v>
      </c>
      <c r="E57" s="1" t="s">
        <v>54</v>
      </c>
    </row>
    <row r="58" spans="1:5" x14ac:dyDescent="0.2">
      <c r="A58" s="44" t="s">
        <v>43</v>
      </c>
      <c r="B58" s="43" t="s">
        <v>80</v>
      </c>
      <c r="C58" s="42">
        <v>3</v>
      </c>
      <c r="D58" s="41" t="s">
        <v>76</v>
      </c>
      <c r="E58" s="1" t="s">
        <v>79</v>
      </c>
    </row>
    <row r="59" spans="1:5" x14ac:dyDescent="0.2">
      <c r="A59" s="44" t="s">
        <v>78</v>
      </c>
      <c r="B59" s="43" t="s">
        <v>77</v>
      </c>
      <c r="C59" s="42">
        <v>3</v>
      </c>
      <c r="D59" s="41" t="s">
        <v>76</v>
      </c>
      <c r="E59" s="1" t="s">
        <v>75</v>
      </c>
    </row>
    <row r="60" spans="1:5" x14ac:dyDescent="0.2">
      <c r="A60" s="24" t="s">
        <v>65</v>
      </c>
      <c r="B60" s="40" t="s">
        <v>74</v>
      </c>
      <c r="C60" s="10">
        <v>3</v>
      </c>
      <c r="D60" s="37" t="s">
        <v>73</v>
      </c>
      <c r="E60" s="1" t="s">
        <v>58</v>
      </c>
    </row>
    <row r="61" spans="1:5" ht="13.5" thickBot="1" x14ac:dyDescent="0.25">
      <c r="A61" s="9" t="s">
        <v>51</v>
      </c>
      <c r="B61" s="20" t="s">
        <v>72</v>
      </c>
      <c r="C61" s="8">
        <v>2</v>
      </c>
      <c r="D61" s="35" t="s">
        <v>71</v>
      </c>
      <c r="E61" s="1" t="s">
        <v>70</v>
      </c>
    </row>
    <row r="62" spans="1:5" ht="13.5" thickBot="1" x14ac:dyDescent="0.25">
      <c r="A62" s="4"/>
      <c r="B62" s="4"/>
      <c r="C62" s="3">
        <f>SUM(C55:C61)</f>
        <v>20</v>
      </c>
      <c r="D62" s="2"/>
    </row>
    <row r="63" spans="1:5" ht="15.75" thickBot="1" x14ac:dyDescent="0.3">
      <c r="A63" s="71" t="s">
        <v>10</v>
      </c>
      <c r="B63" s="71"/>
      <c r="C63" s="71"/>
      <c r="D63" s="71"/>
    </row>
    <row r="64" spans="1:5" x14ac:dyDescent="0.2">
      <c r="A64" s="7" t="s">
        <v>9</v>
      </c>
      <c r="B64" s="7" t="s">
        <v>8</v>
      </c>
      <c r="C64" s="7" t="s">
        <v>7</v>
      </c>
      <c r="D64" s="19" t="s">
        <v>6</v>
      </c>
    </row>
    <row r="65" spans="1:5" ht="13.5" thickBot="1" x14ac:dyDescent="0.25">
      <c r="A65" s="3" t="s">
        <v>5</v>
      </c>
      <c r="B65" s="3" t="s">
        <v>4</v>
      </c>
      <c r="C65" s="3"/>
      <c r="D65" s="18" t="s">
        <v>3</v>
      </c>
    </row>
    <row r="66" spans="1:5" x14ac:dyDescent="0.2">
      <c r="A66" s="39" t="s">
        <v>69</v>
      </c>
      <c r="B66" s="39" t="s">
        <v>68</v>
      </c>
      <c r="C66" s="16">
        <v>3</v>
      </c>
      <c r="D66" s="38" t="s">
        <v>59</v>
      </c>
      <c r="E66" s="1" t="s">
        <v>67</v>
      </c>
    </row>
    <row r="67" spans="1:5" x14ac:dyDescent="0.2">
      <c r="A67" s="24" t="s">
        <v>46</v>
      </c>
      <c r="B67" s="24" t="s">
        <v>66</v>
      </c>
      <c r="C67" s="22">
        <v>3</v>
      </c>
      <c r="D67" s="37" t="s">
        <v>65</v>
      </c>
      <c r="E67" s="1" t="s">
        <v>64</v>
      </c>
    </row>
    <row r="68" spans="1:5" x14ac:dyDescent="0.2">
      <c r="A68" s="11" t="s">
        <v>63</v>
      </c>
      <c r="B68" s="11" t="s">
        <v>62</v>
      </c>
      <c r="C68" s="10">
        <v>3</v>
      </c>
      <c r="D68" s="36" t="s">
        <v>59</v>
      </c>
      <c r="E68" s="1" t="s">
        <v>61</v>
      </c>
    </row>
    <row r="69" spans="1:5" x14ac:dyDescent="0.2">
      <c r="A69" s="24" t="s">
        <v>38</v>
      </c>
      <c r="B69" s="24" t="s">
        <v>60</v>
      </c>
      <c r="C69" s="10">
        <v>3</v>
      </c>
      <c r="D69" s="37" t="s">
        <v>59</v>
      </c>
      <c r="E69" s="1" t="s">
        <v>58</v>
      </c>
    </row>
    <row r="70" spans="1:5" x14ac:dyDescent="0.2">
      <c r="A70" s="11" t="s">
        <v>57</v>
      </c>
      <c r="B70" s="24" t="s">
        <v>56</v>
      </c>
      <c r="C70" s="10">
        <v>3</v>
      </c>
      <c r="D70" s="36" t="s">
        <v>55</v>
      </c>
      <c r="E70" s="1" t="s">
        <v>54</v>
      </c>
    </row>
    <row r="71" spans="1:5" ht="13.5" thickBot="1" x14ac:dyDescent="0.25">
      <c r="A71" s="9" t="s">
        <v>53</v>
      </c>
      <c r="B71" s="9" t="s">
        <v>52</v>
      </c>
      <c r="C71" s="10">
        <v>2</v>
      </c>
      <c r="D71" s="35" t="s">
        <v>51</v>
      </c>
      <c r="E71" s="1" t="s">
        <v>50</v>
      </c>
    </row>
    <row r="72" spans="1:5" ht="13.5" thickBot="1" x14ac:dyDescent="0.25">
      <c r="A72" s="4"/>
      <c r="B72" s="4"/>
      <c r="C72" s="34">
        <f>SUM(C66:C71)</f>
        <v>17</v>
      </c>
      <c r="D72" s="2"/>
    </row>
    <row r="73" spans="1:5" ht="13.5" thickBot="1" x14ac:dyDescent="0.25">
      <c r="A73" s="4"/>
      <c r="B73" s="4"/>
      <c r="C73" s="4"/>
      <c r="D73" s="2"/>
    </row>
    <row r="74" spans="1:5" ht="18.75" thickBot="1" x14ac:dyDescent="0.3">
      <c r="A74" s="72" t="s">
        <v>49</v>
      </c>
      <c r="B74" s="73"/>
      <c r="C74" s="73"/>
      <c r="D74" s="73"/>
    </row>
    <row r="75" spans="1:5" ht="16.5" thickBot="1" x14ac:dyDescent="0.3">
      <c r="A75" s="69" t="s">
        <v>21</v>
      </c>
      <c r="B75" s="69"/>
      <c r="C75" s="69"/>
      <c r="D75" s="69"/>
    </row>
    <row r="76" spans="1:5" x14ac:dyDescent="0.2">
      <c r="A76" s="7" t="s">
        <v>9</v>
      </c>
      <c r="B76" s="19" t="s">
        <v>8</v>
      </c>
      <c r="C76" s="7" t="s">
        <v>7</v>
      </c>
      <c r="D76" s="19" t="s">
        <v>6</v>
      </c>
    </row>
    <row r="77" spans="1:5" ht="13.5" thickBot="1" x14ac:dyDescent="0.25">
      <c r="A77" s="3" t="s">
        <v>5</v>
      </c>
      <c r="B77" s="27" t="s">
        <v>4</v>
      </c>
      <c r="C77" s="3"/>
      <c r="D77" s="18" t="s">
        <v>3</v>
      </c>
    </row>
    <row r="78" spans="1:5" ht="25.5" x14ac:dyDescent="0.2">
      <c r="A78" s="33" t="s">
        <v>48</v>
      </c>
      <c r="B78" s="32" t="s">
        <v>47</v>
      </c>
      <c r="C78" s="31">
        <v>3</v>
      </c>
      <c r="D78" s="31" t="s">
        <v>46</v>
      </c>
      <c r="E78" s="1" t="s">
        <v>45</v>
      </c>
    </row>
    <row r="79" spans="1:5" x14ac:dyDescent="0.2">
      <c r="A79" s="11" t="s">
        <v>31</v>
      </c>
      <c r="B79" s="25" t="s">
        <v>44</v>
      </c>
      <c r="C79" s="10">
        <v>3</v>
      </c>
      <c r="D79" s="10" t="s">
        <v>43</v>
      </c>
      <c r="E79" s="1" t="s">
        <v>23</v>
      </c>
    </row>
    <row r="80" spans="1:5" s="12" customFormat="1" x14ac:dyDescent="0.25">
      <c r="A80" s="30" t="s">
        <v>42</v>
      </c>
      <c r="B80" s="29" t="s">
        <v>41</v>
      </c>
      <c r="C80" s="28">
        <v>3</v>
      </c>
      <c r="D80" s="28" t="s">
        <v>27</v>
      </c>
      <c r="E80" s="12" t="s">
        <v>40</v>
      </c>
    </row>
    <row r="81" spans="1:5" ht="13.5" thickBot="1" x14ac:dyDescent="0.25">
      <c r="A81" s="21" t="s">
        <v>24</v>
      </c>
      <c r="B81" s="20" t="s">
        <v>39</v>
      </c>
      <c r="C81" s="8">
        <v>3</v>
      </c>
      <c r="D81" s="8" t="s">
        <v>38</v>
      </c>
      <c r="E81" s="1" t="s">
        <v>37</v>
      </c>
    </row>
    <row r="82" spans="1:5" ht="13.5" thickBot="1" x14ac:dyDescent="0.25">
      <c r="A82" s="4"/>
      <c r="B82" s="4"/>
      <c r="C82" s="3">
        <f>SUM(C78:C81)</f>
        <v>12</v>
      </c>
      <c r="D82" s="2"/>
    </row>
    <row r="83" spans="1:5" ht="16.5" thickBot="1" x14ac:dyDescent="0.3">
      <c r="A83" s="69" t="s">
        <v>36</v>
      </c>
      <c r="B83" s="69"/>
      <c r="C83" s="69"/>
      <c r="D83" s="69"/>
    </row>
    <row r="84" spans="1:5" x14ac:dyDescent="0.2">
      <c r="A84" s="7" t="s">
        <v>9</v>
      </c>
      <c r="B84" s="19" t="s">
        <v>8</v>
      </c>
      <c r="C84" s="7" t="s">
        <v>7</v>
      </c>
      <c r="D84" s="19" t="s">
        <v>6</v>
      </c>
    </row>
    <row r="85" spans="1:5" ht="13.5" thickBot="1" x14ac:dyDescent="0.25">
      <c r="A85" s="3" t="s">
        <v>5</v>
      </c>
      <c r="B85" s="27" t="s">
        <v>4</v>
      </c>
      <c r="C85" s="3"/>
      <c r="D85" s="18" t="s">
        <v>3</v>
      </c>
    </row>
    <row r="86" spans="1:5" x14ac:dyDescent="0.2">
      <c r="A86" s="17" t="s">
        <v>19</v>
      </c>
      <c r="B86" s="26" t="s">
        <v>35</v>
      </c>
      <c r="C86" s="16">
        <v>3</v>
      </c>
      <c r="D86" s="16" t="s">
        <v>34</v>
      </c>
      <c r="E86" s="1" t="s">
        <v>23</v>
      </c>
    </row>
    <row r="87" spans="1:5" x14ac:dyDescent="0.2">
      <c r="A87" s="11" t="s">
        <v>33</v>
      </c>
      <c r="B87" s="25" t="s">
        <v>32</v>
      </c>
      <c r="C87" s="10">
        <v>3</v>
      </c>
      <c r="D87" s="10" t="s">
        <v>31</v>
      </c>
      <c r="E87" s="1" t="s">
        <v>30</v>
      </c>
    </row>
    <row r="88" spans="1:5" x14ac:dyDescent="0.2">
      <c r="A88" s="24" t="s">
        <v>29</v>
      </c>
      <c r="B88" s="23" t="s">
        <v>28</v>
      </c>
      <c r="C88" s="22">
        <v>3</v>
      </c>
      <c r="D88" s="10" t="s">
        <v>27</v>
      </c>
      <c r="E88" s="1" t="s">
        <v>26</v>
      </c>
    </row>
    <row r="89" spans="1:5" ht="13.5" thickBot="1" x14ac:dyDescent="0.25">
      <c r="A89" s="21" t="s">
        <v>14</v>
      </c>
      <c r="B89" s="20" t="s">
        <v>25</v>
      </c>
      <c r="C89" s="8">
        <v>3</v>
      </c>
      <c r="D89" s="8" t="s">
        <v>24</v>
      </c>
      <c r="E89" s="1" t="s">
        <v>23</v>
      </c>
    </row>
    <row r="90" spans="1:5" ht="13.5" thickBot="1" x14ac:dyDescent="0.25">
      <c r="A90" s="4"/>
      <c r="B90" s="4"/>
      <c r="C90" s="3">
        <f>SUM(C86:C89)</f>
        <v>12</v>
      </c>
      <c r="D90" s="2"/>
    </row>
    <row r="91" spans="1:5" ht="13.5" thickBot="1" x14ac:dyDescent="0.25">
      <c r="A91" s="4"/>
      <c r="B91" s="4"/>
      <c r="C91" s="4"/>
      <c r="D91" s="2"/>
    </row>
    <row r="92" spans="1:5" ht="18.75" thickBot="1" x14ac:dyDescent="0.3">
      <c r="A92" s="72" t="s">
        <v>22</v>
      </c>
      <c r="B92" s="73"/>
      <c r="C92" s="73"/>
      <c r="D92" s="73"/>
    </row>
    <row r="93" spans="1:5" ht="16.5" thickBot="1" x14ac:dyDescent="0.3">
      <c r="A93" s="69" t="s">
        <v>21</v>
      </c>
      <c r="B93" s="69"/>
      <c r="C93" s="69"/>
      <c r="D93" s="69"/>
    </row>
    <row r="94" spans="1:5" x14ac:dyDescent="0.2">
      <c r="A94" s="7" t="s">
        <v>9</v>
      </c>
      <c r="B94" s="7" t="s">
        <v>8</v>
      </c>
      <c r="C94" s="7" t="s">
        <v>7</v>
      </c>
      <c r="D94" s="19" t="s">
        <v>6</v>
      </c>
    </row>
    <row r="95" spans="1:5" ht="13.5" thickBot="1" x14ac:dyDescent="0.25">
      <c r="A95" s="3" t="s">
        <v>5</v>
      </c>
      <c r="B95" s="3" t="s">
        <v>4</v>
      </c>
      <c r="C95" s="3"/>
      <c r="D95" s="18" t="s">
        <v>3</v>
      </c>
    </row>
    <row r="96" spans="1:5" x14ac:dyDescent="0.2">
      <c r="A96" s="17" t="s">
        <v>0</v>
      </c>
      <c r="B96" s="17" t="s">
        <v>20</v>
      </c>
      <c r="C96" s="16">
        <v>5</v>
      </c>
      <c r="D96" s="16" t="s">
        <v>19</v>
      </c>
    </row>
    <row r="97" spans="1:4" s="12" customFormat="1" x14ac:dyDescent="0.25">
      <c r="A97" s="15" t="s">
        <v>18</v>
      </c>
      <c r="B97" s="14" t="s">
        <v>17</v>
      </c>
      <c r="C97" s="13">
        <v>3</v>
      </c>
      <c r="D97" s="13" t="s">
        <v>11</v>
      </c>
    </row>
    <row r="98" spans="1:4" x14ac:dyDescent="0.2">
      <c r="A98" s="11" t="s">
        <v>16</v>
      </c>
      <c r="B98" s="11" t="s">
        <v>15</v>
      </c>
      <c r="C98" s="10">
        <v>3</v>
      </c>
      <c r="D98" s="10" t="s">
        <v>14</v>
      </c>
    </row>
    <row r="99" spans="1:4" ht="13.5" thickBot="1" x14ac:dyDescent="0.25">
      <c r="A99" s="9" t="s">
        <v>13</v>
      </c>
      <c r="B99" s="9" t="s">
        <v>12</v>
      </c>
      <c r="C99" s="8">
        <v>3</v>
      </c>
      <c r="D99" s="8" t="s">
        <v>11</v>
      </c>
    </row>
    <row r="100" spans="1:4" ht="13.5" thickBot="1" x14ac:dyDescent="0.25">
      <c r="A100" s="4"/>
      <c r="B100" s="4"/>
      <c r="C100" s="3">
        <f>SUM(C96:C99)</f>
        <v>14</v>
      </c>
      <c r="D100" s="2"/>
    </row>
    <row r="101" spans="1:4" ht="16.5" thickBot="1" x14ac:dyDescent="0.3">
      <c r="A101" s="70" t="s">
        <v>10</v>
      </c>
      <c r="B101" s="70"/>
      <c r="C101" s="70"/>
      <c r="D101" s="70"/>
    </row>
    <row r="102" spans="1:4" x14ac:dyDescent="0.2">
      <c r="A102" s="7" t="s">
        <v>9</v>
      </c>
      <c r="B102" s="7" t="s">
        <v>8</v>
      </c>
      <c r="C102" s="7" t="s">
        <v>7</v>
      </c>
      <c r="D102" s="7" t="s">
        <v>6</v>
      </c>
    </row>
    <row r="103" spans="1:4" ht="13.5" thickBot="1" x14ac:dyDescent="0.25">
      <c r="A103" s="3" t="s">
        <v>5</v>
      </c>
      <c r="B103" s="3" t="s">
        <v>4</v>
      </c>
      <c r="C103" s="3"/>
      <c r="D103" s="3" t="s">
        <v>3</v>
      </c>
    </row>
    <row r="104" spans="1:4" ht="13.5" thickBot="1" x14ac:dyDescent="0.25">
      <c r="A104" s="6" t="s">
        <v>2</v>
      </c>
      <c r="B104" s="6" t="s">
        <v>1</v>
      </c>
      <c r="C104" s="5">
        <v>5</v>
      </c>
      <c r="D104" s="5" t="s">
        <v>0</v>
      </c>
    </row>
    <row r="105" spans="1:4" ht="13.5" thickBot="1" x14ac:dyDescent="0.25">
      <c r="A105" s="4"/>
      <c r="B105" s="4"/>
      <c r="C105" s="3">
        <f>SUM(C104:C104)</f>
        <v>5</v>
      </c>
      <c r="D105" s="2"/>
    </row>
    <row r="107" spans="1:4" ht="8.25" customHeight="1" x14ac:dyDescent="0.2"/>
    <row r="108" spans="1:4" ht="8.25" customHeight="1" x14ac:dyDescent="0.2"/>
  </sheetData>
  <mergeCells count="20">
    <mergeCell ref="A51:D51"/>
    <mergeCell ref="A1:D1"/>
    <mergeCell ref="A2:D2"/>
    <mergeCell ref="A3:D3"/>
    <mergeCell ref="A5:D5"/>
    <mergeCell ref="A6:D6"/>
    <mergeCell ref="A8:D8"/>
    <mergeCell ref="A9:D9"/>
    <mergeCell ref="A13:D13"/>
    <mergeCell ref="A24:D24"/>
    <mergeCell ref="A25:D25"/>
    <mergeCell ref="A38:D38"/>
    <mergeCell ref="A93:D93"/>
    <mergeCell ref="A101:D101"/>
    <mergeCell ref="A52:D52"/>
    <mergeCell ref="A63:D63"/>
    <mergeCell ref="A74:D74"/>
    <mergeCell ref="A75:D75"/>
    <mergeCell ref="A83:D83"/>
    <mergeCell ref="A92:D92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81" orientation="portrait" verticalDpi="360" r:id="rId1"/>
  <rowBreaks count="1" manualBreakCount="1">
    <brk id="6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E90" sqref="E9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ALVAREZ</vt:lpstr>
      <vt:lpstr>Sheet1</vt:lpstr>
      <vt:lpstr>ALVAREZ!Print_Area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Registrar-S.A PC1</dc:creator>
  <cp:lastModifiedBy>Archelle Agdon</cp:lastModifiedBy>
  <dcterms:created xsi:type="dcterms:W3CDTF">2025-01-15T02:37:49Z</dcterms:created>
  <dcterms:modified xsi:type="dcterms:W3CDTF">2025-10-26T06:02:03Z</dcterms:modified>
</cp:coreProperties>
</file>